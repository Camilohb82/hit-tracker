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Instrucciones" sheetId="1" state="visible" r:id="rId1"/>
    <sheet name="1. Caracterización CEDI" sheetId="2" state="visible" r:id="rId2"/>
    <sheet name="2. Matriz de Riesgos" sheetId="3" state="visible" r:id="rId3"/>
    <sheet name="3. Escalas y Criterios" sheetId="4" state="visible" r:id="rId4"/>
    <sheet name="4. Plan de Inspección" sheetId="5" state="visible" r:id="rId5"/>
    <sheet name="5. Plan de Acción" sheetId="6" state="visible" r:id="rId6"/>
    <sheet name="6. Tablero" sheetId="7" state="visible" r:id="rId7"/>
    <sheet name="7. Referencias" sheetId="8" state="visible" r:id="rId8"/>
  </sheets>
  <definedNames>
    <definedName name="_xlnm._FilterDatabase" localSheetId="2" hidden="1">'2. Matriz de Riesgos'!$A$4:$T$122</definedName>
    <definedName name="_xlnm.Print_Titles" localSheetId="2">'2. Matriz de Riesgos'!$4:$4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b val="1"/>
      <color rgb="002F5597"/>
      <sz val="13"/>
    </font>
    <font>
      <name val="Calibri"/>
      <i val="1"/>
      <color rgb="00595959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b val="1"/>
      <color rgb="00FFFFFF"/>
      <sz val="10"/>
    </font>
    <font>
      <b val="1"/>
      <color rgb="00FFFFFF"/>
      <sz val="11"/>
    </font>
    <font>
      <b val="1"/>
      <color rgb="00000000"/>
      <sz val="11"/>
    </font>
    <font>
      <name val="Calibri"/>
      <color rgb="00595959"/>
      <sz val="9"/>
    </font>
    <font>
      <b val="1"/>
      <color rgb="00000000"/>
      <sz val="10"/>
    </font>
    <font>
      <b val="1"/>
      <color rgb="001F3864"/>
      <sz val="12"/>
    </font>
  </fonts>
  <fills count="2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A6A6A6"/>
      </patternFill>
    </fill>
    <fill>
      <patternFill patternType="solid">
        <fgColor rgb="00FFF2CC"/>
      </patternFill>
    </fill>
    <fill>
      <patternFill patternType="solid">
        <fgColor rgb="00BFBFBF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E4DFEC"/>
      </patternFill>
    </fill>
    <fill>
      <patternFill patternType="solid">
        <fgColor rgb="00D9E1F2"/>
      </patternFill>
    </fill>
    <fill>
      <patternFill patternType="solid">
        <fgColor rgb="00FBE5D6"/>
      </patternFill>
    </fill>
    <fill>
      <patternFill patternType="solid">
        <fgColor rgb="00E2F0D9"/>
      </patternFill>
    </fill>
    <fill>
      <patternFill patternType="solid">
        <fgColor rgb="00FFF7DC"/>
      </patternFill>
    </fill>
    <fill>
      <patternFill patternType="solid">
        <fgColor rgb="00F2F2F2"/>
      </patternFill>
    </fill>
    <fill>
      <patternFill patternType="solid">
        <fgColor rgb="00EAE1F2"/>
      </patternFill>
    </fill>
    <fill>
      <patternFill patternType="solid">
        <fgColor rgb="00DEEAF6"/>
      </patternFill>
    </fill>
    <fill>
      <patternFill patternType="solid">
        <fgColor rgb="00FDE9D9"/>
      </patternFill>
    </fill>
    <fill>
      <patternFill patternType="solid">
        <fgColor rgb="00E9F2E1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top" wrapText="1"/>
    </xf>
    <xf numFmtId="0" fontId="7" fillId="13" borderId="1" applyAlignment="1" pivotButton="0" quotePrefix="0" xfId="0">
      <alignment horizontal="left" vertical="top" wrapText="1"/>
    </xf>
    <xf numFmtId="0" fontId="7" fillId="14" borderId="1" applyAlignment="1" pivotButton="0" quotePrefix="0" xfId="0">
      <alignment horizontal="left" vertical="top" wrapText="1"/>
    </xf>
    <xf numFmtId="0" fontId="7" fillId="15" borderId="1" applyAlignment="1" pivotButton="0" quotePrefix="0" xfId="0">
      <alignment horizontal="left" vertical="top" wrapText="1"/>
    </xf>
    <xf numFmtId="0" fontId="7" fillId="16" borderId="1" applyAlignment="1" pivotButton="0" quotePrefix="0" xfId="0">
      <alignment horizontal="left" vertical="top" wrapText="1"/>
    </xf>
    <xf numFmtId="0" fontId="7" fillId="17" borderId="1" applyAlignment="1" pivotButton="0" quotePrefix="0" xfId="0">
      <alignment horizontal="left" vertical="top" wrapText="1"/>
    </xf>
    <xf numFmtId="0" fontId="7" fillId="18" borderId="1" applyAlignment="1" pivotButton="0" quotePrefix="0" xfId="0">
      <alignment horizontal="left" vertical="top" wrapText="1"/>
    </xf>
    <xf numFmtId="0" fontId="7" fillId="19" borderId="1" applyAlignment="1" pivotButton="0" quotePrefix="0" xfId="0">
      <alignment horizontal="left" vertical="top" wrapText="1"/>
    </xf>
    <xf numFmtId="0" fontId="7" fillId="20" borderId="1" applyAlignment="1" pivotButton="0" quotePrefix="0" xfId="0">
      <alignment horizontal="left" vertical="top" wrapText="1"/>
    </xf>
    <xf numFmtId="0" fontId="7" fillId="21" borderId="1" applyAlignment="1" pivotButton="0" quotePrefix="0" xfId="0">
      <alignment horizontal="left" vertical="top" wrapText="1"/>
    </xf>
    <xf numFmtId="0" fontId="7" fillId="22" borderId="1" applyAlignment="1" pivotButton="0" quotePrefix="0" xfId="0">
      <alignment horizontal="left" vertical="top" wrapText="1"/>
    </xf>
    <xf numFmtId="0" fontId="7" fillId="23" borderId="1" applyAlignment="1" pivotButton="0" quotePrefix="0" xfId="0">
      <alignment horizontal="left" vertical="top" wrapText="1"/>
    </xf>
    <xf numFmtId="0" fontId="7" fillId="24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6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9" fontId="7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6" fillId="25" borderId="1" pivotButton="0" quotePrefix="0" xfId="0"/>
    <xf numFmtId="0" fontId="6" fillId="25" borderId="1" applyAlignment="1" pivotButton="0" quotePrefix="0" xfId="0">
      <alignment horizontal="center" vertical="center" wrapText="1"/>
    </xf>
    <xf numFmtId="0" fontId="0" fillId="25" borderId="1" pivotButton="0" quotePrefix="0" xfId="0"/>
    <xf numFmtId="165" fontId="13" fillId="25" borderId="1" applyAlignment="1" pivotButton="0" quotePrefix="0" xfId="0">
      <alignment horizontal="center" vertical="center" wrapText="1"/>
    </xf>
    <xf numFmtId="0" fontId="7" fillId="0" borderId="1" pivotButton="0" quotePrefix="0" xfId="0"/>
  </cellXfs>
  <cellStyles count="1">
    <cellStyle name="Normal" xfId="0" builtinId="0" hidden="0"/>
  </cellStyles>
  <dxfs count="11">
    <dxf>
      <font>
        <b val="1"/>
        <color rgb="00FFFFFF"/>
      </font>
      <fill>
        <patternFill patternType="solid">
          <fgColor rgb="00C00000"/>
        </patternFill>
      </fill>
    </dxf>
    <dxf>
      <font>
        <b val="1"/>
        <color rgb="00FFFFFF"/>
      </font>
      <fill>
        <patternFill patternType="solid">
          <fgColor rgb="00ED7D31"/>
        </patternFill>
      </fill>
    </dxf>
    <dxf>
      <font>
        <b val="1"/>
        <color rgb="00000000"/>
      </font>
      <fill>
        <patternFill patternType="solid">
          <fgColor rgb="00FFC000"/>
        </patternFill>
      </fill>
    </dxf>
    <dxf>
      <font>
        <b val="1"/>
        <color rgb="00FFFFFF"/>
      </font>
      <fill>
        <patternFill patternType="solid">
          <fgColor rgb="0070AD47"/>
        </patternFill>
      </fill>
    </dxf>
    <dxf>
      <font>
        <b val="1"/>
        <color rgb="00000000"/>
      </font>
      <fill>
        <patternFill patternType="solid">
          <fgColor rgb="00BFBFBF"/>
        </patternFill>
      </fill>
    </dxf>
    <dxf>
      <fill>
        <patternFill patternType="solid">
          <fgColor rgb="00F4B7B7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C000"/>
        </patternFill>
      </fill>
    </dxf>
    <dxf>
      <font>
        <b val="1"/>
      </font>
      <fill>
        <patternFill patternType="solid">
          <fgColor rgb="00F4B7B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2:D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96" customWidth="1" min="3" max="3"/>
    <col width="40" customWidth="1" min="4" max="4"/>
  </cols>
  <sheetData>
    <row r="2">
      <c r="B2" s="1" t="inlineStr">
        <is>
          <t>CHECKLIST DE CARACTERIZACIÓN Y CALIFICACIÓN DE RIESGOS</t>
        </is>
      </c>
    </row>
    <row r="3">
      <c r="B3" s="2" t="inlineStr">
        <is>
          <t>Centro de Distribución (CEDI) / Bodega logística</t>
        </is>
      </c>
    </row>
    <row r="4">
      <c r="B4" s="3" t="inlineStr">
        <is>
          <t>Metodología basada en ISO 31000 (gestión del riesgo), ISO 45001, EN 15635 (estanterías), NFPA (incendio) e ISO 22301 (continuidad).</t>
        </is>
      </c>
    </row>
    <row r="6" ht="22" customHeight="1">
      <c r="A6" s="4" t="inlineStr">
        <is>
          <t xml:space="preserve">  ¿PARA QUÉ SIRVE ESTE ARCHIVO?</t>
        </is>
      </c>
    </row>
    <row r="7" ht="30" customHeight="1">
      <c r="B7" s="5" t="inlineStr">
        <is>
          <t>Permite (1) caracterizar el centro de distribución, (2) identificar y calificar sus riesgos, (3) definir cada cuánto se revisa cada riesgo según su criticidad y (4) hacer seguimiento a las acciones.</t>
        </is>
      </c>
    </row>
    <row r="8" ht="30" customHeight="1">
      <c r="B8" s="5" t="inlineStr">
        <is>
          <t>La caracterización es el paso previo obligatorio: el mismo riesgo (por ejemplo, sismo o carga de fuego) NO tiene la misma calificación en un CEDI de 5.000 m² con estantería selectiva de 6 m que en uno de 40.000 m² con racks de 12 m en zona sísmica alta.</t>
        </is>
      </c>
    </row>
    <row r="10" ht="22" customHeight="1">
      <c r="A10" s="4" t="inlineStr">
        <is>
          <t xml:space="preserve">  CÓMO USARLO — 7 PASOS</t>
        </is>
      </c>
    </row>
    <row r="11" ht="20" customHeight="1">
      <c r="A11" s="6" t="inlineStr"/>
      <c r="B11" s="6" t="inlineStr">
        <is>
          <t>Paso</t>
        </is>
      </c>
      <c r="C11" s="6" t="inlineStr">
        <is>
          <t>Qué hacer</t>
        </is>
      </c>
      <c r="D11" s="6" t="inlineStr">
        <is>
          <t>Hoja</t>
        </is>
      </c>
    </row>
    <row r="12" ht="39" customHeight="1">
      <c r="B12" s="7" t="inlineStr">
        <is>
          <t>1. Caracterizar</t>
        </is>
      </c>
      <c r="C12" s="8" t="inlineStr">
        <is>
          <t>Diligencie la ficha del CEDI: tamaño, altura, sistema de almacenamiento, volumen y tipo de producto, muelles, equipos, entorno natural y del vecindario, sistemas de protección y gestión. Cada variable es un modificador del riesgo.</t>
        </is>
      </c>
      <c r="D12" s="8" t="inlineStr">
        <is>
          <t>1. Caracterización CEDI</t>
        </is>
      </c>
    </row>
    <row r="13" ht="26" customHeight="1">
      <c r="B13" s="7" t="inlineStr">
        <is>
          <t>2. Depurar el alcance</t>
        </is>
      </c>
      <c r="C13" s="8" t="inlineStr">
        <is>
          <t>Recorra la matriz y marque como 'N.A.' los riesgos que no apliquen (por ejemplo, cadena de frío si no maneja refrigerados). No borre filas: deje la evidencia de por qué no aplica.</t>
        </is>
      </c>
      <c r="D13" s="8" t="inlineStr">
        <is>
          <t>2. Matriz de Riesgos</t>
        </is>
      </c>
    </row>
    <row r="14" ht="39" customHeight="1">
      <c r="B14" s="7" t="inlineStr">
        <is>
          <t>3. Calificar</t>
        </is>
      </c>
      <c r="C14" s="8" t="inlineStr">
        <is>
          <t>Ajuste Probabilidad (1-5) e Impacto (1-5) de cada riesgo con base en la caracterización, el histórico de eventos y la efectividad real de los controles. Los valores vienen precargados como punto de partida del experto; deben validarse en sitio.</t>
        </is>
      </c>
      <c r="D14" s="8" t="inlineStr">
        <is>
          <t>2. Matriz de Riesgos</t>
        </is>
      </c>
    </row>
    <row r="15" ht="26" customHeight="1">
      <c r="B15" s="7" t="inlineStr">
        <is>
          <t>4. Verificar en campo</t>
        </is>
      </c>
      <c r="C15" s="8" t="inlineStr">
        <is>
          <t>Recorra el CEDI con la columna 'Qué verificar' y registre Cumple / Parcial / No, el hallazgo y la evidencia. Es el checklist propiamente dicho.</t>
        </is>
      </c>
      <c r="D15" s="8" t="inlineStr">
        <is>
          <t>2. Matriz de Riesgos</t>
        </is>
      </c>
    </row>
    <row r="16" ht="39" customHeight="1">
      <c r="B16" s="7" t="inlineStr">
        <is>
          <t>5. Definir frecuencias</t>
        </is>
      </c>
      <c r="C16" s="8" t="inlineStr">
        <is>
          <t>La frecuencia mínima de revisión se calcula automáticamente según el nivel de riesgo. Compárela con la 'Frecuencia técnica recomendada' (norma o fabricante) y adopte SIEMPRE la más exigente de las dos.</t>
        </is>
      </c>
      <c r="D16" s="8" t="inlineStr">
        <is>
          <t>4. Plan de Inspección</t>
        </is>
      </c>
    </row>
    <row r="17" ht="26" customHeight="1">
      <c r="B17" s="7" t="inlineStr">
        <is>
          <t>6. Actuar</t>
        </is>
      </c>
      <c r="C17" s="8" t="inlineStr">
        <is>
          <t>Todo hallazgo 'No' o 'Parcial' pasa al plan de acción con responsable, fecha y verificación de eficacia. Los plazos máximos dependen del nivel de riesgo.</t>
        </is>
      </c>
      <c r="D17" s="8" t="inlineStr">
        <is>
          <t>5. Plan de Acción</t>
        </is>
      </c>
    </row>
    <row r="18" ht="39" customHeight="1">
      <c r="B18" s="7" t="inlineStr">
        <is>
          <t>7. Monitorear</t>
        </is>
      </c>
      <c r="C18" s="8" t="inlineStr">
        <is>
          <t>Revise el tablero, cierre acciones y reevalúe. Además de la periodicidad programada, hay disparadores que obligan a revisar de inmediato (sismo, incendio, accidente grave, cambio de layout o de portafolio).</t>
        </is>
      </c>
      <c r="D18" s="8" t="inlineStr">
        <is>
          <t>6. Tablero</t>
        </is>
      </c>
    </row>
    <row r="20" ht="22" customHeight="1">
      <c r="A20" s="4" t="inlineStr">
        <is>
          <t xml:space="preserve">  REGLA DE ORO PARA LA FRECUENCIA DE REVISIÓN</t>
        </is>
      </c>
    </row>
    <row r="21" ht="30" customHeight="1">
      <c r="A21" s="6" t="inlineStr"/>
      <c r="B21" s="6" t="inlineStr">
        <is>
          <t>Nivel de riesgo (P × I)</t>
        </is>
      </c>
      <c r="C21" s="6" t="inlineStr">
        <is>
          <t>Frecuencia mínima de verificación en campo</t>
        </is>
      </c>
      <c r="D21" s="6" t="inlineStr">
        <is>
          <t>Reevaluación formal / plazo de acción</t>
        </is>
      </c>
    </row>
    <row r="22" ht="30" customHeight="1">
      <c r="B22" s="9" t="inlineStr">
        <is>
          <t>Extremo (20 - 25)</t>
        </is>
      </c>
      <c r="C22" s="8" t="inlineStr">
        <is>
          <t>Verificación diaria o por turno + inspección formal semanal. Riesgo no aceptable: se interviene o se detiene la operación en ese frente.</t>
        </is>
      </c>
      <c r="D22" s="8" t="inlineStr">
        <is>
          <t>Reevaluar mensualmente · Plan de acción ≤ 15 días · Lo acepta la Gerencia</t>
        </is>
      </c>
    </row>
    <row r="23" ht="39" customHeight="1">
      <c r="B23" s="10" t="inlineStr">
        <is>
          <t>Alto (12 - 16)</t>
        </is>
      </c>
      <c r="C23" s="8" t="inlineStr">
        <is>
          <t>Verificación semanal + inspección formal mensual.</t>
        </is>
      </c>
      <c r="D23" s="8" t="inlineStr">
        <is>
          <t>Reevaluar trimestralmente · Plan de acción ≤ 30 días · Lo acepta el Jefe de CEDI con visto bueno de HSE</t>
        </is>
      </c>
    </row>
    <row r="24" ht="30" customHeight="1">
      <c r="B24" s="11" t="inlineStr">
        <is>
          <t>Medio (6 - 10)</t>
        </is>
      </c>
      <c r="C24" s="8" t="inlineStr">
        <is>
          <t>Inspección mensual (elementos operativos) o trimestral (elementos estructurales).</t>
        </is>
      </c>
      <c r="D24" s="8" t="inlineStr">
        <is>
          <t>Reevaluar semestralmente · Plan de acción ≤ 90 días</t>
        </is>
      </c>
    </row>
    <row r="25" ht="30" customHeight="1">
      <c r="B25" s="12" t="inlineStr">
        <is>
          <t>Bajo (3 - 5)</t>
        </is>
      </c>
      <c r="C25" s="8" t="inlineStr">
        <is>
          <t>Inspección semestral.</t>
        </is>
      </c>
      <c r="D25" s="8" t="inlineStr">
        <is>
          <t>Reevaluar anualmente · Se gestiona con la rutina normal</t>
        </is>
      </c>
    </row>
    <row r="26" ht="30" customHeight="1">
      <c r="B26" s="13" t="inlineStr">
        <is>
          <t>Muy bajo (1 - 2)</t>
        </is>
      </c>
      <c r="C26" s="8" t="inlineStr">
        <is>
          <t>Inspección anual.</t>
        </is>
      </c>
      <c r="D26" s="8" t="inlineStr">
        <is>
          <t>Reevaluar anualmente · Riesgo aceptable, solo monitoreo</t>
        </is>
      </c>
    </row>
    <row r="28" ht="22" customHeight="1">
      <c r="A28" s="4" t="inlineStr">
        <is>
          <t xml:space="preserve">  ADVERTENCIAS DE USO</t>
        </is>
      </c>
    </row>
    <row r="29" ht="30" customHeight="1">
      <c r="B29" s="14" t="inlineStr">
        <is>
          <t>· Las calificaciones precargadas (Probabilidad e Impacto) son valores típicos de riesgo INHERENTE para un CEDI convencional, es decir, sin descontar la eficacia de los controles instalados. NO son un diagnóstico: deben ajustarse con datos del sitio.</t>
        </is>
      </c>
    </row>
    <row r="30" ht="30" customHeight="1">
      <c r="B30" s="14" t="inlineStr">
        <is>
          <t>· Por eso la mayoría de los riesgos aparece inicialmente en nivel Alto: son escenarios con consecuencia grave o fatal. A medida que verifique controles eficaces y baje la probabilidad, obtendrá el riesgo residual, que es el que realmente se gestiona.</t>
        </is>
      </c>
    </row>
    <row r="31" ht="30" customHeight="1">
      <c r="B31" s="14" t="inlineStr">
        <is>
          <t>· La frecuencia calculada por criticidad es un mínimo de gestión. Cuando una norma, la aseguradora o el fabricante exijan una frecuencia mayor, prevalece la más exigente.</t>
        </is>
      </c>
    </row>
    <row r="32" ht="30" customHeight="1">
      <c r="B32" s="14" t="inlineStr">
        <is>
          <t>· Las referencias legales citadas incluyen normativa colombiana (NSR-10, RETIE, Decreto 1072 de 2015, Resolución 0312 de 2019, entre otras) y estándares internacionales (NFPA, EN, ISO, OSHA). Valide siempre la normativa vigente de su jurisdicción.</t>
        </is>
      </c>
    </row>
    <row r="33" ht="30" customHeight="1">
      <c r="B33" s="14" t="inlineStr">
        <is>
          <t>· La inspección experta anual de estantería y la evaluación estructural deben hacerlas terceros técnicamente competentes; este checklist no los reemplaza.</t>
        </is>
      </c>
    </row>
  </sheetData>
  <mergeCells count="11">
    <mergeCell ref="B33:D33"/>
    <mergeCell ref="A6:D6"/>
    <mergeCell ref="B31:D31"/>
    <mergeCell ref="B8:D8"/>
    <mergeCell ref="A20:D20"/>
    <mergeCell ref="B32:D32"/>
    <mergeCell ref="B30:D30"/>
    <mergeCell ref="A10:D10"/>
    <mergeCell ref="B29:D29"/>
    <mergeCell ref="B7:D7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/>
  </sheetPr>
  <dimension ref="A2:E1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26" customWidth="1" min="3" max="3"/>
    <col width="22" customWidth="1" min="4" max="4"/>
    <col width="66" customWidth="1" min="5" max="5"/>
  </cols>
  <sheetData>
    <row r="2">
      <c r="B2" s="1" t="inlineStr">
        <is>
          <t>FICHA DE CARACTERIZACIÓN DEL CENTRO DE DISTRIBUCIÓN</t>
        </is>
      </c>
    </row>
    <row r="3">
      <c r="B3" s="3" t="inlineStr">
        <is>
          <t>Insumo obligatorio para calificar los riesgos. Cada variable es un modificador de la probabilidad o del impacto.</t>
        </is>
      </c>
    </row>
    <row r="5" ht="22" customHeight="1">
      <c r="A5" s="4" t="inlineStr">
        <is>
          <t xml:space="preserve">  1. IDENTIFICACIÓN Y GENERALIDADES</t>
        </is>
      </c>
    </row>
    <row r="6" ht="30" customHeight="1">
      <c r="A6" s="6" t="inlineStr">
        <is>
          <t>#</t>
        </is>
      </c>
      <c r="B6" s="6" t="inlineStr">
        <is>
          <t>Variable a caracterizar</t>
        </is>
      </c>
      <c r="C6" s="6" t="inlineStr">
        <is>
          <t>Valor / respuesta</t>
        </is>
      </c>
      <c r="D6" s="6" t="inlineStr">
        <is>
          <t>Unidad o formato</t>
        </is>
      </c>
      <c r="E6" s="6" t="inlineStr">
        <is>
          <t>Por qué importa para la calificación del riesgo</t>
        </is>
      </c>
    </row>
    <row r="7" ht="15" customHeight="1">
      <c r="A7" s="15" t="n">
        <v>1</v>
      </c>
      <c r="B7" s="8" t="inlineStr">
        <is>
          <t>Nombre / código del centro de distribución</t>
        </is>
      </c>
      <c r="C7" s="16" t="inlineStr"/>
      <c r="D7" s="15" t="inlineStr">
        <is>
          <t>Texto</t>
        </is>
      </c>
      <c r="E7" s="8" t="inlineStr">
        <is>
          <t>Identifica el activo dentro de la red logística.</t>
        </is>
      </c>
    </row>
    <row r="8" ht="26" customHeight="1">
      <c r="A8" s="15" t="n">
        <v>2</v>
      </c>
      <c r="B8" s="8" t="inlineStr">
        <is>
          <t>Dirección, ciudad y país</t>
        </is>
      </c>
      <c r="C8" s="16" t="inlineStr"/>
      <c r="D8" s="15" t="inlineStr">
        <is>
          <t>Texto</t>
        </is>
      </c>
      <c r="E8" s="8" t="inlineStr">
        <is>
          <t>Define el marco legal aplicable y la amenaza natural y social del sitio.</t>
        </is>
      </c>
    </row>
    <row r="9" ht="26" customHeight="1">
      <c r="A9" s="15" t="n">
        <v>3</v>
      </c>
      <c r="B9" s="8" t="inlineStr">
        <is>
          <t>Coordenadas geográficas</t>
        </is>
      </c>
      <c r="C9" s="16" t="inlineStr"/>
      <c r="D9" s="15" t="inlineStr">
        <is>
          <t>Lat / Long</t>
        </is>
      </c>
      <c r="E9" s="8" t="inlineStr">
        <is>
          <t>Permite cruzar con mapas de amenaza sísmica, inundación y criminalidad.</t>
        </is>
      </c>
    </row>
    <row r="10" ht="26" customHeight="1">
      <c r="A10" s="15" t="n">
        <v>4</v>
      </c>
      <c r="B10" s="8" t="inlineStr">
        <is>
          <t>Año de construcción y de la última ampliación</t>
        </is>
      </c>
      <c r="C10" s="16" t="inlineStr"/>
      <c r="D10" s="15" t="inlineStr">
        <is>
          <t>Año</t>
        </is>
      </c>
      <c r="E10" s="8" t="inlineStr">
        <is>
          <t>Indica bajo qué código de construcción fue diseñado (norma sísmica vigente en su momento).</t>
        </is>
      </c>
    </row>
    <row r="11" ht="26" customHeight="1">
      <c r="A11" s="15" t="n">
        <v>5</v>
      </c>
      <c r="B11" s="8" t="inlineStr">
        <is>
          <t>Tenencia: propio / arrendado / operado por 3PL</t>
        </is>
      </c>
      <c r="C11" s="16" t="inlineStr"/>
      <c r="D11" s="15" t="inlineStr">
        <is>
          <t>Selección</t>
        </is>
      </c>
      <c r="E11" s="8" t="inlineStr">
        <is>
          <t>Determina quién responde por la infraestructura y qué se puede modificar.</t>
        </is>
      </c>
    </row>
    <row r="12" ht="26" customHeight="1">
      <c r="A12" s="15" t="n">
        <v>6</v>
      </c>
      <c r="B12" s="8" t="inlineStr">
        <is>
          <t>Certificaciones vigentes (ISO 9001/14001/45001, BASC, OEA, BPM, HACCP)</t>
        </is>
      </c>
      <c r="C12" s="16" t="inlineStr"/>
      <c r="D12" s="15" t="inlineStr">
        <is>
          <t>Texto</t>
        </is>
      </c>
      <c r="E12" s="8" t="inlineStr">
        <is>
          <t>Evidencia madurez del sistema de gestión y reduce la probabilidad de fallas sistémicas.</t>
        </is>
      </c>
    </row>
    <row r="13" ht="26" customHeight="1">
      <c r="A13" s="15" t="n">
        <v>7</v>
      </c>
      <c r="B13" s="8" t="inlineStr">
        <is>
          <t>Turnos y días de operación (24/7, 2 turnos, etc.)</t>
        </is>
      </c>
      <c r="C13" s="16" t="inlineStr"/>
      <c r="D13" s="15" t="inlineStr">
        <is>
          <t>Texto</t>
        </is>
      </c>
      <c r="E13" s="8" t="inlineStr">
        <is>
          <t>Mayor exposición horaria = mayor probabilidad de eventos; obliga a cobertura de brigada por turno.</t>
        </is>
      </c>
    </row>
    <row r="14" ht="26" customHeight="1">
      <c r="A14" s="15" t="n">
        <v>8</v>
      </c>
      <c r="B14" s="8" t="inlineStr">
        <is>
          <t>Número de personas: directas / temporales / contratistas</t>
        </is>
      </c>
      <c r="C14" s="16" t="inlineStr"/>
      <c r="D14" s="15" t="inlineStr">
        <is>
          <t>Personas</t>
        </is>
      </c>
      <c r="E14" s="8" t="inlineStr">
        <is>
          <t>Define la magnitud de la consecuencia humana y la carga de inducción y entrenamiento.</t>
        </is>
      </c>
    </row>
    <row r="16" ht="22" customHeight="1">
      <c r="A16" s="4" t="inlineStr">
        <is>
          <t xml:space="preserve">  2. INFRAESTRUCTURA Y DIMENSIONES</t>
        </is>
      </c>
    </row>
    <row r="17" ht="30" customHeight="1">
      <c r="A17" s="6" t="inlineStr">
        <is>
          <t>#</t>
        </is>
      </c>
      <c r="B17" s="6" t="inlineStr">
        <is>
          <t>Variable a caracterizar</t>
        </is>
      </c>
      <c r="C17" s="6" t="inlineStr">
        <is>
          <t>Valor / respuesta</t>
        </is>
      </c>
      <c r="D17" s="6" t="inlineStr">
        <is>
          <t>Unidad o formato</t>
        </is>
      </c>
      <c r="E17" s="6" t="inlineStr">
        <is>
          <t>Por qué importa para la calificación del riesgo</t>
        </is>
      </c>
    </row>
    <row r="18" ht="26" customHeight="1">
      <c r="A18" s="15" t="n">
        <v>1</v>
      </c>
      <c r="B18" s="8" t="inlineStr">
        <is>
          <t>Área total del lote y área construida cubierta</t>
        </is>
      </c>
      <c r="C18" s="16" t="inlineStr"/>
      <c r="D18" s="15" t="inlineStr">
        <is>
          <t>m²</t>
        </is>
      </c>
      <c r="E18" s="8" t="inlineStr">
        <is>
          <t>Escala del impacto potencial y requisitos de sectorización y de protección contra incendio.</t>
        </is>
      </c>
    </row>
    <row r="19" ht="26" customHeight="1">
      <c r="A19" s="15" t="n">
        <v>2</v>
      </c>
      <c r="B19" s="8" t="inlineStr">
        <is>
          <t>Número de bodegas o sectores independientes</t>
        </is>
      </c>
      <c r="C19" s="16" t="inlineStr"/>
      <c r="D19" s="15" t="inlineStr">
        <is>
          <t>Número</t>
        </is>
      </c>
      <c r="E19" s="8" t="inlineStr">
        <is>
          <t>La compartimentación limita la propagación y la pérdida máxima probable.</t>
        </is>
      </c>
    </row>
    <row r="20" ht="26" customHeight="1">
      <c r="A20" s="15" t="n">
        <v>3</v>
      </c>
      <c r="B20" s="8" t="inlineStr">
        <is>
          <t>Altura libre a la viga inferior / a la cubierta</t>
        </is>
      </c>
      <c r="C20" s="16" t="inlineStr"/>
      <c r="D20" s="15" t="inlineStr">
        <is>
          <t>m</t>
        </is>
      </c>
      <c r="E20" s="8" t="inlineStr">
        <is>
          <t>Determina el tipo de rociador requerido y la severidad de un incendio en altura.</t>
        </is>
      </c>
    </row>
    <row r="21" ht="26" customHeight="1">
      <c r="A21" s="15" t="n">
        <v>4</v>
      </c>
      <c r="B21" s="8" t="inlineStr">
        <is>
          <t>Altura máxima de almacenamiento</t>
        </is>
      </c>
      <c r="C21" s="16" t="inlineStr"/>
      <c r="D21" s="15" t="inlineStr">
        <is>
          <t>m</t>
        </is>
      </c>
      <c r="E21" s="8" t="inlineStr">
        <is>
          <t>Por encima de 7,6 m cambian los criterios de protección contra incendio y de estabilidad.</t>
        </is>
      </c>
    </row>
    <row r="22" ht="26" customHeight="1">
      <c r="A22" s="15" t="n">
        <v>5</v>
      </c>
      <c r="B22" s="8" t="inlineStr">
        <is>
          <t>Capacidad portante de la losa</t>
        </is>
      </c>
      <c r="C22" s="16" t="inlineStr"/>
      <c r="D22" s="15" t="inlineStr">
        <is>
          <t>t/m² o kN/m²</t>
        </is>
      </c>
      <c r="E22" s="8" t="inlineStr">
        <is>
          <t>Restringe carga puntual de montantes, tránsito de equipos y peso por posición.</t>
        </is>
      </c>
    </row>
    <row r="23" ht="26" customHeight="1">
      <c r="A23" s="15" t="n">
        <v>6</v>
      </c>
      <c r="B23" s="8" t="inlineStr">
        <is>
          <t>Tipo de cubierta y sistema de drenaje</t>
        </is>
      </c>
      <c r="C23" s="16" t="inlineStr"/>
      <c r="D23" s="15" t="inlineStr">
        <is>
          <t>Texto</t>
        </is>
      </c>
      <c r="E23" s="8" t="inlineStr">
        <is>
          <t>Riesgo de colapso por granizo o agua empozada y de daño masivo por filtración.</t>
        </is>
      </c>
    </row>
    <row r="24" ht="26" customHeight="1">
      <c r="A24" s="15" t="n">
        <v>7</v>
      </c>
      <c r="B24" s="8" t="inlineStr">
        <is>
          <t>Sectorización: muros y puertas cortafuego</t>
        </is>
      </c>
      <c r="C24" s="16" t="inlineStr"/>
      <c r="D24" s="15" t="inlineStr">
        <is>
          <t>Sí / No + descripción</t>
        </is>
      </c>
      <c r="E24" s="8" t="inlineStr">
        <is>
          <t>Es el control que evita que un incendio se convierta en pérdida total.</t>
        </is>
      </c>
    </row>
    <row r="25" ht="26" customHeight="1">
      <c r="A25" s="15" t="n">
        <v>8</v>
      </c>
      <c r="B25" s="8" t="inlineStr">
        <is>
          <t>Zonas especiales: cuarto frío, jaula de valor, MERPEL, inflamables, mezanine</t>
        </is>
      </c>
      <c r="C25" s="16" t="inlineStr"/>
      <c r="D25" s="15" t="inlineStr">
        <is>
          <t>Texto</t>
        </is>
      </c>
      <c r="E25" s="8" t="inlineStr">
        <is>
          <t>Cada zona añade riesgos específicos y requisitos legales propios.</t>
        </is>
      </c>
    </row>
    <row r="27" ht="22" customHeight="1">
      <c r="A27" s="4" t="inlineStr">
        <is>
          <t xml:space="preserve">  3. VOLUMEN, INVENTARIO Y PRODUCTO</t>
        </is>
      </c>
    </row>
    <row r="28" ht="30" customHeight="1">
      <c r="A28" s="6" t="inlineStr">
        <is>
          <t>#</t>
        </is>
      </c>
      <c r="B28" s="6" t="inlineStr">
        <is>
          <t>Variable a caracterizar</t>
        </is>
      </c>
      <c r="C28" s="6" t="inlineStr">
        <is>
          <t>Valor / respuesta</t>
        </is>
      </c>
      <c r="D28" s="6" t="inlineStr">
        <is>
          <t>Unidad o formato</t>
        </is>
      </c>
      <c r="E28" s="6" t="inlineStr">
        <is>
          <t>Por qué importa para la calificación del riesgo</t>
        </is>
      </c>
    </row>
    <row r="29" ht="26" customHeight="1">
      <c r="A29" s="15" t="n">
        <v>1</v>
      </c>
      <c r="B29" s="8" t="inlineStr">
        <is>
          <t>Número de posiciones de estiba (pallet) instaladas</t>
        </is>
      </c>
      <c r="C29" s="16" t="inlineStr"/>
      <c r="D29" s="15" t="inlineStr">
        <is>
          <t>Posiciones</t>
        </is>
      </c>
      <c r="E29" s="8" t="inlineStr">
        <is>
          <t>Base para calcular ocupación; la ocupación alta multiplica casi todos los riesgos operativos.</t>
        </is>
      </c>
    </row>
    <row r="30" ht="26" customHeight="1">
      <c r="A30" s="15" t="n">
        <v>2</v>
      </c>
      <c r="B30" s="8" t="inlineStr">
        <is>
          <t>Ocupación promedio y ocupación pico</t>
        </is>
      </c>
      <c r="C30" s="16" t="inlineStr"/>
      <c r="D30" s="15" t="inlineStr">
        <is>
          <t>%</t>
        </is>
      </c>
      <c r="E30" s="8" t="inlineStr">
        <is>
          <t>Por encima del 85-90% aparecen bloqueos de pasillos, almacenamiento improvisado y accidentes.</t>
        </is>
      </c>
    </row>
    <row r="31" ht="26" customHeight="1">
      <c r="A31" s="15" t="n">
        <v>3</v>
      </c>
      <c r="B31" s="8" t="inlineStr">
        <is>
          <t>SKU activos y clasificación ABC</t>
        </is>
      </c>
      <c r="C31" s="16" t="inlineStr"/>
      <c r="D31" s="15" t="inlineStr">
        <is>
          <t>Número / %</t>
        </is>
      </c>
      <c r="E31" s="8" t="inlineStr">
        <is>
          <t>Complejidad operativa, errores de picking y necesidad de conteos cíclicos.</t>
        </is>
      </c>
    </row>
    <row r="32" ht="26" customHeight="1">
      <c r="A32" s="15" t="n">
        <v>4</v>
      </c>
      <c r="B32" s="8" t="inlineStr">
        <is>
          <t>Unidades, cajas o pallets movidos por día (entradas y salidas)</t>
        </is>
      </c>
      <c r="C32" s="16" t="inlineStr"/>
      <c r="D32" s="15" t="inlineStr">
        <is>
          <t>Unid/día</t>
        </is>
      </c>
      <c r="E32" s="8" t="inlineStr">
        <is>
          <t>Throughput = exposición: a más movimientos, más probabilidad de colisión, avería y error.</t>
        </is>
      </c>
    </row>
    <row r="33" ht="26" customHeight="1">
      <c r="A33" s="15" t="n">
        <v>5</v>
      </c>
      <c r="B33" s="8" t="inlineStr">
        <is>
          <t>Rotación del inventario (turns/año) y días de inventario</t>
        </is>
      </c>
      <c r="C33" s="16" t="inlineStr"/>
      <c r="D33" s="15" t="inlineStr">
        <is>
          <t>Número</t>
        </is>
      </c>
      <c r="E33" s="8" t="inlineStr">
        <is>
          <t>Baja rotación concentra valor y aumenta obsolescencia y carga de fuego permanente.</t>
        </is>
      </c>
    </row>
    <row r="34" ht="26" customHeight="1">
      <c r="A34" s="15" t="n">
        <v>6</v>
      </c>
      <c r="B34" s="8" t="inlineStr">
        <is>
          <t>Valor promedio del inventario y valor pico</t>
        </is>
      </c>
      <c r="C34" s="16" t="inlineStr"/>
      <c r="D34" s="15" t="inlineStr">
        <is>
          <t>Moneda</t>
        </is>
      </c>
      <c r="E34" s="8" t="inlineStr">
        <is>
          <t>Define el impacto económico y debe compararse contra el valor asegurado.</t>
        </is>
      </c>
    </row>
    <row r="35" ht="26" customHeight="1">
      <c r="A35" s="15" t="n">
        <v>7</v>
      </c>
      <c r="B35" s="8" t="inlineStr">
        <is>
          <t>Estacionalidad (meses pico y % de incremento)</t>
        </is>
      </c>
      <c r="C35" s="16" t="inlineStr"/>
      <c r="D35" s="15" t="inlineStr">
        <is>
          <t>%</t>
        </is>
      </c>
      <c r="E35" s="8" t="inlineStr">
        <is>
          <t>Los picos son el momento de mayor accidentalidad y desorden.</t>
        </is>
      </c>
    </row>
    <row r="36" ht="26" customHeight="1">
      <c r="A36" s="15" t="n">
        <v>8</v>
      </c>
      <c r="B36" s="8" t="inlineStr">
        <is>
          <t>Familias de producto y clasificación de mercancía para incendio (Clase I-IV, plásticos)</t>
        </is>
      </c>
      <c r="C36" s="16" t="inlineStr"/>
      <c r="D36" s="15" t="inlineStr">
        <is>
          <t>Texto</t>
        </is>
      </c>
      <c r="E36" s="8" t="inlineStr">
        <is>
          <t>Determina si el sistema de rociadores instalado sigue siendo válido.</t>
        </is>
      </c>
    </row>
    <row r="37" ht="26" customHeight="1">
      <c r="A37" s="15" t="n">
        <v>9</v>
      </c>
      <c r="B37" s="8" t="inlineStr">
        <is>
          <t>¿Maneja mercancías peligrosas? Clases ONU presentes</t>
        </is>
      </c>
      <c r="C37" s="16" t="inlineStr"/>
      <c r="D37" s="15" t="inlineStr">
        <is>
          <t>Sí / No + clases</t>
        </is>
      </c>
      <c r="E37" s="8" t="inlineStr">
        <is>
          <t>Activa requisitos de segregación, rotulado, FDS, kit de derrames y formación.</t>
        </is>
      </c>
    </row>
    <row r="38" ht="26" customHeight="1">
      <c r="A38" s="15" t="n">
        <v>10</v>
      </c>
      <c r="B38" s="8" t="inlineStr">
        <is>
          <t>¿Maneja cadena de frío? Rangos de temperatura</t>
        </is>
      </c>
      <c r="C38" s="16" t="inlineStr"/>
      <c r="D38" s="15" t="inlineStr">
        <is>
          <t>Sí / No + °C</t>
        </is>
      </c>
      <c r="E38" s="8" t="inlineStr">
        <is>
          <t>Añade riesgo de pérdida total del lote por falla de equipo o de energía.</t>
        </is>
      </c>
    </row>
    <row r="39" ht="26" customHeight="1">
      <c r="A39" s="15" t="n">
        <v>11</v>
      </c>
      <c r="B39" s="8" t="inlineStr">
        <is>
          <t>¿Producto de alto valor o de alto riesgo de hurto?</t>
        </is>
      </c>
      <c r="C39" s="16" t="inlineStr"/>
      <c r="D39" s="15" t="inlineStr">
        <is>
          <t>Sí / No</t>
        </is>
      </c>
      <c r="E39" s="8" t="inlineStr">
        <is>
          <t>Define necesidad de jaula, CCTV dedicado y controles de seguridad reforzados.</t>
        </is>
      </c>
    </row>
    <row r="40" ht="26" customHeight="1">
      <c r="A40" s="15" t="n">
        <v>12</v>
      </c>
      <c r="B40" s="8" t="inlineStr">
        <is>
          <t>¿Alimentos, farmacéuticos o producto regulado?</t>
        </is>
      </c>
      <c r="C40" s="16" t="inlineStr"/>
      <c r="D40" s="15" t="inlineStr">
        <is>
          <t>Sí / No</t>
        </is>
      </c>
      <c r="E40" s="8" t="inlineStr">
        <is>
          <t>Añade riesgo sanitario, trazabilidad, recall y sanción del ente regulador.</t>
        </is>
      </c>
    </row>
    <row r="42" ht="22" customHeight="1">
      <c r="A42" s="4" t="inlineStr">
        <is>
          <t xml:space="preserve">  4. SISTEMA DE ALMACENAMIENTO</t>
        </is>
      </c>
    </row>
    <row r="43" ht="30" customHeight="1">
      <c r="A43" s="6" t="inlineStr">
        <is>
          <t>#</t>
        </is>
      </c>
      <c r="B43" s="6" t="inlineStr">
        <is>
          <t>Variable a caracterizar</t>
        </is>
      </c>
      <c r="C43" s="6" t="inlineStr">
        <is>
          <t>Valor / respuesta</t>
        </is>
      </c>
      <c r="D43" s="6" t="inlineStr">
        <is>
          <t>Unidad o formato</t>
        </is>
      </c>
      <c r="E43" s="6" t="inlineStr">
        <is>
          <t>Por qué importa para la calificación del riesgo</t>
        </is>
      </c>
    </row>
    <row r="44" ht="39" customHeight="1">
      <c r="A44" s="15" t="n">
        <v>1</v>
      </c>
      <c r="B44" s="8" t="inlineStr">
        <is>
          <t>Tipos de estantería (selectiva, doble profundidad, drive-in, push back, dinámica, cantilever, automatizada)</t>
        </is>
      </c>
      <c r="C44" s="16" t="inlineStr"/>
      <c r="D44" s="15" t="inlineStr">
        <is>
          <t>Texto</t>
        </is>
      </c>
      <c r="E44" s="8" t="inlineStr">
        <is>
          <t>Cada sistema tiene modos de falla y frecuencias de inspección distintas.</t>
        </is>
      </c>
    </row>
    <row r="45" ht="26" customHeight="1">
      <c r="A45" s="15" t="n">
        <v>2</v>
      </c>
      <c r="B45" s="8" t="inlineStr">
        <is>
          <t>Fabricante, año de instalación y memoria de cálculo disponible</t>
        </is>
      </c>
      <c r="C45" s="16" t="inlineStr"/>
      <c r="D45" s="15" t="inlineStr">
        <is>
          <t>Texto / Sí-No</t>
        </is>
      </c>
      <c r="E45" s="8" t="inlineStr">
        <is>
          <t>Sin memoria de cálculo no hay forma de verificar la capacidad real.</t>
        </is>
      </c>
    </row>
    <row r="46" ht="15" customHeight="1">
      <c r="A46" s="15" t="n">
        <v>3</v>
      </c>
      <c r="B46" s="8" t="inlineStr">
        <is>
          <t>Placas de carga instaladas y visibles</t>
        </is>
      </c>
      <c r="C46" s="16" t="inlineStr"/>
      <c r="D46" s="15" t="inlineStr">
        <is>
          <t>Sí / No / Parcial</t>
        </is>
      </c>
      <c r="E46" s="8" t="inlineStr">
        <is>
          <t>Es el control primario contra la sobrecarga de estantería.</t>
        </is>
      </c>
    </row>
    <row r="47" ht="26" customHeight="1">
      <c r="A47" s="15" t="n">
        <v>4</v>
      </c>
      <c r="B47" s="8" t="inlineStr">
        <is>
          <t>¿Existe PRRS designado (responsable de seguridad de estanterías)?</t>
        </is>
      </c>
      <c r="C47" s="16" t="inlineStr"/>
      <c r="D47" s="15" t="inlineStr">
        <is>
          <t>Sí / No + nombre</t>
        </is>
      </c>
      <c r="E47" s="8" t="inlineStr">
        <is>
          <t>Requisito de EN 15635 para el ciclo de inspección semanal y el reporte de daños.</t>
        </is>
      </c>
    </row>
    <row r="48" ht="26" customHeight="1">
      <c r="A48" s="15" t="n">
        <v>5</v>
      </c>
      <c r="B48" s="8" t="inlineStr">
        <is>
          <t>Fecha de la última inspección experta de estantería</t>
        </is>
      </c>
      <c r="C48" s="16" t="inlineStr"/>
      <c r="D48" s="15" t="inlineStr">
        <is>
          <t>Fecha</t>
        </is>
      </c>
      <c r="E48" s="8" t="inlineStr">
        <is>
          <t>Si supera 12 meses, el riesgo de colapso se califica al alza.</t>
        </is>
      </c>
    </row>
    <row r="49" ht="26" customHeight="1">
      <c r="A49" s="15" t="n">
        <v>6</v>
      </c>
      <c r="B49" s="8" t="inlineStr">
        <is>
          <t>Nivel de daño acumulado (rojo / ámbar / verde) del último informe</t>
        </is>
      </c>
      <c r="C49" s="16" t="inlineStr"/>
      <c r="D49" s="15" t="inlineStr">
        <is>
          <t>Número por color</t>
        </is>
      </c>
      <c r="E49" s="8" t="inlineStr">
        <is>
          <t>Los daños rojos exigen descarga y bloqueo inmediato.</t>
        </is>
      </c>
    </row>
    <row r="50" ht="26" customHeight="1">
      <c r="A50" s="15" t="n">
        <v>7</v>
      </c>
      <c r="B50" s="8" t="inlineStr">
        <is>
          <t>Ancho de pasillo de trabajo y tipo de pasillo (convencional, estrecho, muy estrecho)</t>
        </is>
      </c>
      <c r="C50" s="16" t="inlineStr"/>
      <c r="D50" s="15" t="inlineStr">
        <is>
          <t>m</t>
        </is>
      </c>
      <c r="E50" s="8" t="inlineStr">
        <is>
          <t>Pasillos estrechos aumentan la probabilidad de impacto contra montantes.</t>
        </is>
      </c>
    </row>
    <row r="51" ht="26" customHeight="1">
      <c r="A51" s="15" t="n">
        <v>8</v>
      </c>
      <c r="B51" s="8" t="inlineStr">
        <is>
          <t>Tipo, medida y estado de las estibas o pallets</t>
        </is>
      </c>
      <c r="C51" s="16" t="inlineStr"/>
      <c r="D51" s="15" t="inlineStr">
        <is>
          <t>Texto</t>
        </is>
      </c>
      <c r="E51" s="8" t="inlineStr">
        <is>
          <t>Estibas deterioradas son causa frecuente de caída de carga desde altura.</t>
        </is>
      </c>
    </row>
    <row r="52" ht="26" customHeight="1">
      <c r="A52" s="15" t="n">
        <v>9</v>
      </c>
      <c r="B52" s="8" t="inlineStr">
        <is>
          <t>¿Almacenamiento en bloque / apilado en piso? Altura máxima</t>
        </is>
      </c>
      <c r="C52" s="16" t="inlineStr"/>
      <c r="D52" s="15" t="inlineStr">
        <is>
          <t>Sí / No + m</t>
        </is>
      </c>
      <c r="E52" s="8" t="inlineStr">
        <is>
          <t>Riesgo de volcamiento de rumas y de bloqueo de rutas.</t>
        </is>
      </c>
    </row>
    <row r="54" ht="22" customHeight="1">
      <c r="A54" s="4" t="inlineStr">
        <is>
          <t xml:space="preserve">  5. EQUIPOS DE MANIPULACIÓN (MHE)</t>
        </is>
      </c>
    </row>
    <row r="55" ht="30" customHeight="1">
      <c r="A55" s="6" t="inlineStr">
        <is>
          <t>#</t>
        </is>
      </c>
      <c r="B55" s="6" t="inlineStr">
        <is>
          <t>Variable a caracterizar</t>
        </is>
      </c>
      <c r="C55" s="6" t="inlineStr">
        <is>
          <t>Valor / respuesta</t>
        </is>
      </c>
      <c r="D55" s="6" t="inlineStr">
        <is>
          <t>Unidad o formato</t>
        </is>
      </c>
      <c r="E55" s="6" t="inlineStr">
        <is>
          <t>Por qué importa para la calificación del riesgo</t>
        </is>
      </c>
    </row>
    <row r="56" ht="39" customHeight="1">
      <c r="A56" s="15" t="n">
        <v>1</v>
      </c>
      <c r="B56" s="8" t="inlineStr">
        <is>
          <t>Cantidad y tipo de equipos (contrabalanceado, retráctil, apilador, transpaleta, orderpicker, trilateral)</t>
        </is>
      </c>
      <c r="C56" s="16" t="inlineStr"/>
      <c r="D56" s="15" t="inlineStr">
        <is>
          <t>Número por tipo</t>
        </is>
      </c>
      <c r="E56" s="8" t="inlineStr">
        <is>
          <t>Define el perfil de accidentalidad y los programas de mantenimiento y certificación.</t>
        </is>
      </c>
    </row>
    <row r="57" ht="26" customHeight="1">
      <c r="A57" s="15" t="n">
        <v>2</v>
      </c>
      <c r="B57" s="8" t="inlineStr">
        <is>
          <t>Fuente de energía (eléctrica, GLP, diésel) y edad promedio de la flota</t>
        </is>
      </c>
      <c r="C57" s="16" t="inlineStr"/>
      <c r="D57" s="15" t="inlineStr">
        <is>
          <t>Texto / años</t>
        </is>
      </c>
      <c r="E57" s="8" t="inlineStr">
        <is>
          <t>GLP y diésel añaden riesgo de incendio y CO; flotas viejas fallan más.</t>
        </is>
      </c>
    </row>
    <row r="58" ht="26" customHeight="1">
      <c r="A58" s="15" t="n">
        <v>3</v>
      </c>
      <c r="B58" s="8" t="inlineStr">
        <is>
          <t>¿Sala de carga de baterías? Tecnología (plomo-ácido / ion-litio)</t>
        </is>
      </c>
      <c r="C58" s="16" t="inlineStr"/>
      <c r="D58" s="15" t="inlineStr">
        <is>
          <t>Sí / No + tipo</t>
        </is>
      </c>
      <c r="E58" s="8" t="inlineStr">
        <is>
          <t>Plomo-ácido: hidrógeno y ácido. Litio: fuga térmica de difícil extinción.</t>
        </is>
      </c>
    </row>
    <row r="59" ht="26" customHeight="1">
      <c r="A59" s="15" t="n">
        <v>4</v>
      </c>
      <c r="B59" s="8" t="inlineStr">
        <is>
          <t>Número de operadores certificados vs. número de equipos</t>
        </is>
      </c>
      <c r="C59" s="16" t="inlineStr"/>
      <c r="D59" s="15" t="inlineStr">
        <is>
          <t>Número</t>
        </is>
      </c>
      <c r="E59" s="8" t="inlineStr">
        <is>
          <t>Déficit de operadores certificados obliga a suplencias improvisadas.</t>
        </is>
      </c>
    </row>
    <row r="60" ht="39" customHeight="1">
      <c r="A60" s="15" t="n">
        <v>5</v>
      </c>
      <c r="B60" s="8" t="inlineStr">
        <is>
          <t>¿Sistemas de seguridad instalados (anticolisión, telemetría, limitador de velocidad, luces azules)?</t>
        </is>
      </c>
      <c r="C60" s="16" t="inlineStr"/>
      <c r="D60" s="15" t="inlineStr">
        <is>
          <t>Texto</t>
        </is>
      </c>
      <c r="E60" s="8" t="inlineStr">
        <is>
          <t>Reducen fuertemente la probabilidad de atropellamiento y volcamiento.</t>
        </is>
      </c>
    </row>
    <row r="61" ht="26" customHeight="1">
      <c r="A61" s="15" t="n">
        <v>6</v>
      </c>
      <c r="B61" s="8" t="inlineStr">
        <is>
          <t>Cumplimiento del plan de mantenimiento preventivo</t>
        </is>
      </c>
      <c r="C61" s="16" t="inlineStr"/>
      <c r="D61" s="15" t="inlineStr">
        <is>
          <t>%</t>
        </is>
      </c>
      <c r="E61" s="8" t="inlineStr">
        <is>
          <t>Es el mejor predictor de falla mecánica en operación.</t>
        </is>
      </c>
    </row>
    <row r="63" ht="22" customHeight="1">
      <c r="A63" s="4" t="inlineStr">
        <is>
          <t xml:space="preserve">  6. MUELLES, PATIOS Y TRANSPORTE</t>
        </is>
      </c>
    </row>
    <row r="64" ht="30" customHeight="1">
      <c r="A64" s="6" t="inlineStr">
        <is>
          <t>#</t>
        </is>
      </c>
      <c r="B64" s="6" t="inlineStr">
        <is>
          <t>Variable a caracterizar</t>
        </is>
      </c>
      <c r="C64" s="6" t="inlineStr">
        <is>
          <t>Valor / respuesta</t>
        </is>
      </c>
      <c r="D64" s="6" t="inlineStr">
        <is>
          <t>Unidad o formato</t>
        </is>
      </c>
      <c r="E64" s="6" t="inlineStr">
        <is>
          <t>Por qué importa para la calificación del riesgo</t>
        </is>
      </c>
    </row>
    <row r="65" ht="26" customHeight="1">
      <c r="A65" s="15" t="n">
        <v>1</v>
      </c>
      <c r="B65" s="8" t="inlineStr">
        <is>
          <t>Número de muelles de recibo y de despacho</t>
        </is>
      </c>
      <c r="C65" s="16" t="inlineStr"/>
      <c r="D65" s="15" t="inlineStr">
        <is>
          <t>Número</t>
        </is>
      </c>
      <c r="E65" s="8" t="inlineStr">
        <is>
          <t>Define capacidad, congestión y exposición del punto más crítico del CEDI.</t>
        </is>
      </c>
    </row>
    <row r="66" ht="26" customHeight="1">
      <c r="A66" s="15" t="n">
        <v>2</v>
      </c>
      <c r="B66" s="8" t="inlineStr">
        <is>
          <t>Tipo de muelle (a nivel, elevado con nivelador, rampa) y capacidad del nivelador</t>
        </is>
      </c>
      <c r="C66" s="16" t="inlineStr"/>
      <c r="D66" s="15" t="inlineStr">
        <is>
          <t>Texto / kg</t>
        </is>
      </c>
      <c r="E66" s="8" t="inlineStr">
        <is>
          <t>Los muelles concentran los accidentes graves con montacargas y camiones.</t>
        </is>
      </c>
    </row>
    <row r="67" ht="26" customHeight="1">
      <c r="A67" s="15" t="n">
        <v>3</v>
      </c>
      <c r="B67" s="8" t="inlineStr">
        <is>
          <t>¿Dock lock, calzos y semáforos de muelle?</t>
        </is>
      </c>
      <c r="C67" s="16" t="inlineStr"/>
      <c r="D67" s="15" t="inlineStr">
        <is>
          <t>Sí / No</t>
        </is>
      </c>
      <c r="E67" s="8" t="inlineStr">
        <is>
          <t>Control clave contra el desplazamiento del vehículo durante el cargue.</t>
        </is>
      </c>
    </row>
    <row r="68" ht="26" customHeight="1">
      <c r="A68" s="15" t="n">
        <v>4</v>
      </c>
      <c r="B68" s="8" t="inlineStr">
        <is>
          <t>Área de patio, capacidad de parqueo y zona de espera de conductores</t>
        </is>
      </c>
      <c r="C68" s="16" t="inlineStr"/>
      <c r="D68" s="15" t="inlineStr">
        <is>
          <t>m² / vehículos</t>
        </is>
      </c>
      <c r="E68" s="8" t="inlineStr">
        <is>
          <t>Patios pequeños generan maniobras riesgosas y filas en la vía pública.</t>
        </is>
      </c>
    </row>
    <row r="69" ht="26" customHeight="1">
      <c r="A69" s="15" t="n">
        <v>5</v>
      </c>
      <c r="B69" s="8" t="inlineStr">
        <is>
          <t>¿Sistema de citas / agendamiento de vehículos?</t>
        </is>
      </c>
      <c r="C69" s="16" t="inlineStr"/>
      <c r="D69" s="15" t="inlineStr">
        <is>
          <t>Sí / No</t>
        </is>
      </c>
      <c r="E69" s="8" t="inlineStr">
        <is>
          <t>Sin citas, el pico de llegadas produce congestión y presión sobre la operación.</t>
        </is>
      </c>
    </row>
    <row r="70" ht="26" customHeight="1">
      <c r="A70" s="15" t="n">
        <v>6</v>
      </c>
      <c r="B70" s="8" t="inlineStr">
        <is>
          <t>Vehículos atendidos por día y tipo (turbo, sencillo, tractomula, contenedor)</t>
        </is>
      </c>
      <c r="C70" s="16" t="inlineStr"/>
      <c r="D70" s="15" t="inlineStr">
        <is>
          <t>Número / tipo</t>
        </is>
      </c>
      <c r="E70" s="8" t="inlineStr">
        <is>
          <t>Define el tránsito interno y la exposición peatón-vehículo.</t>
        </is>
      </c>
    </row>
    <row r="71" ht="26" customHeight="1">
      <c r="A71" s="15" t="n">
        <v>7</v>
      </c>
      <c r="B71" s="8" t="inlineStr">
        <is>
          <t>¿Opera exportación en contenedor?</t>
        </is>
      </c>
      <c r="C71" s="16" t="inlineStr"/>
      <c r="D71" s="15" t="inlineStr">
        <is>
          <t>Sí / No</t>
        </is>
      </c>
      <c r="E71" s="8" t="inlineStr">
        <is>
          <t>Activa el riesgo de contaminación de la carga y requisitos BASC / OEA / C-TPAT.</t>
        </is>
      </c>
    </row>
    <row r="73" ht="22" customHeight="1">
      <c r="A73" s="4" t="inlineStr">
        <is>
          <t xml:space="preserve">  7. PROTECCIÓN CONTRA INCENDIO Y SERVICIOS</t>
        </is>
      </c>
    </row>
    <row r="74" ht="30" customHeight="1">
      <c r="A74" s="6" t="inlineStr">
        <is>
          <t>#</t>
        </is>
      </c>
      <c r="B74" s="6" t="inlineStr">
        <is>
          <t>Variable a caracterizar</t>
        </is>
      </c>
      <c r="C74" s="6" t="inlineStr">
        <is>
          <t>Valor / respuesta</t>
        </is>
      </c>
      <c r="D74" s="6" t="inlineStr">
        <is>
          <t>Unidad o formato</t>
        </is>
      </c>
      <c r="E74" s="6" t="inlineStr">
        <is>
          <t>Por qué importa para la calificación del riesgo</t>
        </is>
      </c>
    </row>
    <row r="75" ht="26" customHeight="1">
      <c r="A75" s="15" t="n">
        <v>1</v>
      </c>
      <c r="B75" s="8" t="inlineStr">
        <is>
          <t>Sistema de rociadores: tipo (ESFR, techo, in-rack), año y última certificación</t>
        </is>
      </c>
      <c r="C75" s="16" t="inlineStr"/>
      <c r="D75" s="15" t="inlineStr">
        <is>
          <t>Texto / fecha</t>
        </is>
      </c>
      <c r="E75" s="8" t="inlineStr">
        <is>
          <t>Es el control decisivo entre un conato y una pérdida total.</t>
        </is>
      </c>
    </row>
    <row r="76" ht="26" customHeight="1">
      <c r="A76" s="15" t="n">
        <v>2</v>
      </c>
      <c r="B76" s="8" t="inlineStr">
        <is>
          <t>Reserva de agua contra incendio y bomba (tipo y prueba anual)</t>
        </is>
      </c>
      <c r="C76" s="16" t="inlineStr"/>
      <c r="D76" s="15" t="inlineStr">
        <is>
          <t>m³ / Sí-No</t>
        </is>
      </c>
      <c r="E76" s="8" t="inlineStr">
        <is>
          <t>Sin agua suficiente el sistema no cumple su función de diseño.</t>
        </is>
      </c>
    </row>
    <row r="77" ht="26" customHeight="1">
      <c r="A77" s="15" t="n">
        <v>3</v>
      </c>
      <c r="B77" s="8" t="inlineStr">
        <is>
          <t>Detección y alarma: cobertura y última prueba funcional</t>
        </is>
      </c>
      <c r="C77" s="16" t="inlineStr"/>
      <c r="D77" s="15" t="inlineStr">
        <is>
          <t>Texto / fecha</t>
        </is>
      </c>
      <c r="E77" s="8" t="inlineStr">
        <is>
          <t>Determina el tiempo de detección y de evacuación.</t>
        </is>
      </c>
    </row>
    <row r="78" ht="26" customHeight="1">
      <c r="A78" s="15" t="n">
        <v>4</v>
      </c>
      <c r="B78" s="8" t="inlineStr">
        <is>
          <t>Número de extintores, gabinetes e hidrantes; fecha de última recarga</t>
        </is>
      </c>
      <c r="C78" s="16" t="inlineStr"/>
      <c r="D78" s="15" t="inlineStr">
        <is>
          <t>Número / fecha</t>
        </is>
      </c>
      <c r="E78" s="8" t="inlineStr">
        <is>
          <t>Primera línea de respuesta ante conato.</t>
        </is>
      </c>
    </row>
    <row r="79" ht="26" customHeight="1">
      <c r="A79" s="15" t="n">
        <v>5</v>
      </c>
      <c r="B79" s="8" t="inlineStr">
        <is>
          <t>Distancia y tiempo de respuesta del cuerpo de bomberos; hidrantes públicos cercanos</t>
        </is>
      </c>
      <c r="C79" s="16" t="inlineStr"/>
      <c r="D79" s="15" t="inlineStr">
        <is>
          <t>km / min</t>
        </is>
      </c>
      <c r="E79" s="8" t="inlineStr">
        <is>
          <t>Un tiempo de respuesta alto obliga a mayor autoprotección.</t>
        </is>
      </c>
    </row>
    <row r="80" ht="26" customHeight="1">
      <c r="A80" s="15" t="n">
        <v>6</v>
      </c>
      <c r="B80" s="8" t="inlineStr">
        <is>
          <t>Subestación (kVA), planta eléctrica y UPS: alcance y prueba con carga</t>
        </is>
      </c>
      <c r="C80" s="16" t="inlineStr"/>
      <c r="D80" s="15" t="inlineStr">
        <is>
          <t>Texto</t>
        </is>
      </c>
      <c r="E80" s="8" t="inlineStr">
        <is>
          <t>Define qué sobrevive a un corte de energía: WMS, frío, CCTV, control de acceso.</t>
        </is>
      </c>
    </row>
    <row r="81" ht="26" customHeight="1">
      <c r="A81" s="15" t="n">
        <v>7</v>
      </c>
      <c r="B81" s="8" t="inlineStr">
        <is>
          <t>Fecha de la última termografía de tableros eléctricos</t>
        </is>
      </c>
      <c r="C81" s="16" t="inlineStr"/>
      <c r="D81" s="15" t="inlineStr">
        <is>
          <t>Fecha</t>
        </is>
      </c>
      <c r="E81" s="8" t="inlineStr">
        <is>
          <t>La falla eléctrica es una de las principales causas de incendio en bodegas.</t>
        </is>
      </c>
    </row>
    <row r="83" ht="22" customHeight="1">
      <c r="A83" s="4" t="inlineStr">
        <is>
          <t xml:space="preserve">  8. ENTORNO, AMENAZA NATURAL Y SEGURIDAD</t>
        </is>
      </c>
    </row>
    <row r="84" ht="30" customHeight="1">
      <c r="A84" s="6" t="inlineStr">
        <is>
          <t>#</t>
        </is>
      </c>
      <c r="B84" s="6" t="inlineStr">
        <is>
          <t>Variable a caracterizar</t>
        </is>
      </c>
      <c r="C84" s="6" t="inlineStr">
        <is>
          <t>Valor / respuesta</t>
        </is>
      </c>
      <c r="D84" s="6" t="inlineStr">
        <is>
          <t>Unidad o formato</t>
        </is>
      </c>
      <c r="E84" s="6" t="inlineStr">
        <is>
          <t>Por qué importa para la calificación del riesgo</t>
        </is>
      </c>
    </row>
    <row r="85" ht="26" customHeight="1">
      <c r="A85" s="15" t="n">
        <v>1</v>
      </c>
      <c r="B85" s="8" t="inlineStr">
        <is>
          <t>Zona de amenaza sísmica (baja / intermedia / alta) y aceleración de diseño</t>
        </is>
      </c>
      <c r="C85" s="16" t="inlineStr"/>
      <c r="D85" s="15" t="inlineStr">
        <is>
          <t>Texto / Aa</t>
        </is>
      </c>
      <c r="E85" s="8" t="inlineStr">
        <is>
          <t>Modifica directamente el riesgo de colapso estructural y de estantería.</t>
        </is>
      </c>
    </row>
    <row r="86" ht="26" customHeight="1">
      <c r="A86" s="15" t="n">
        <v>2</v>
      </c>
      <c r="B86" s="8" t="inlineStr">
        <is>
          <t>¿El diseño de la estantería contempló carga sísmica?</t>
        </is>
      </c>
      <c r="C86" s="16" t="inlineStr"/>
      <c r="D86" s="15" t="inlineStr">
        <is>
          <t>Sí / No / Se desconoce</t>
        </is>
      </c>
      <c r="E86" s="8" t="inlineStr">
        <is>
          <t>Sin diseño sísmico, un sismo moderado puede colapsar la estantería llena.</t>
        </is>
      </c>
    </row>
    <row r="87" ht="26" customHeight="1">
      <c r="A87" s="15" t="n">
        <v>3</v>
      </c>
      <c r="B87" s="8" t="inlineStr">
        <is>
          <t>¿Zona inundable? Nivel del piso respecto a la vía y a cuerpos de agua cercanos</t>
        </is>
      </c>
      <c r="C87" s="16" t="inlineStr"/>
      <c r="D87" s="15" t="inlineStr">
        <is>
          <t>Sí / No + m</t>
        </is>
      </c>
      <c r="E87" s="8" t="inlineStr">
        <is>
          <t>Define si se puede almacenar producto directamente en piso y el riesgo de pérdida masiva.</t>
        </is>
      </c>
    </row>
    <row r="88" ht="26" customHeight="1">
      <c r="A88" s="15" t="n">
        <v>4</v>
      </c>
      <c r="B88" s="8" t="inlineStr">
        <is>
          <t>Amenaza por vientos fuertes, granizo, deslizamiento o incendio forestal</t>
        </is>
      </c>
      <c r="C88" s="16" t="inlineStr"/>
      <c r="D88" s="15" t="inlineStr">
        <is>
          <t>Texto</t>
        </is>
      </c>
      <c r="E88" s="8" t="inlineStr">
        <is>
          <t>Determina requisitos de cubierta, anclajes y protocolos de alerta.</t>
        </is>
      </c>
    </row>
    <row r="89" ht="26" customHeight="1">
      <c r="A89" s="15" t="n">
        <v>5</v>
      </c>
      <c r="B89" s="8" t="inlineStr">
        <is>
          <t>Ocupantes colindantes y actividades peligrosas cercanas (radio de 500 m)</t>
        </is>
      </c>
      <c r="C89" s="16" t="inlineStr"/>
      <c r="D89" s="15" t="inlineStr">
        <is>
          <t>Texto</t>
        </is>
      </c>
      <c r="E89" s="8" t="inlineStr">
        <is>
          <t>Un siniestro del vecino puede destruir el CEDI o forzar su evacuación.</t>
        </is>
      </c>
    </row>
    <row r="90" ht="26" customHeight="1">
      <c r="A90" s="15" t="n">
        <v>6</v>
      </c>
      <c r="B90" s="8" t="inlineStr">
        <is>
          <t>Nivel de criminalidad de la zona e histórico de asalto o hurto</t>
        </is>
      </c>
      <c r="C90" s="16" t="inlineStr"/>
      <c r="D90" s="15" t="inlineStr">
        <is>
          <t>Texto</t>
        </is>
      </c>
      <c r="E90" s="8" t="inlineStr">
        <is>
          <t>Modifica el riesgo de seguridad física y los controles exigidos por la aseguradora.</t>
        </is>
      </c>
    </row>
    <row r="91" ht="26" customHeight="1">
      <c r="A91" s="15" t="n">
        <v>7</v>
      </c>
      <c r="B91" s="8" t="inlineStr">
        <is>
          <t>Vías de acceso, restricciones de horario y riesgo de bloqueos</t>
        </is>
      </c>
      <c r="C91" s="16" t="inlineStr"/>
      <c r="D91" s="15" t="inlineStr">
        <is>
          <t>Texto</t>
        </is>
      </c>
      <c r="E91" s="8" t="inlineStr">
        <is>
          <t>Afecta continuidad, cumplimiento de entregas y respuesta de emergencia.</t>
        </is>
      </c>
    </row>
    <row r="93" ht="22" customHeight="1">
      <c r="A93" s="4" t="inlineStr">
        <is>
          <t xml:space="preserve">  9. GESTIÓN, SISTEMAS Y ASEGURAMIENTO</t>
        </is>
      </c>
    </row>
    <row r="94" ht="30" customHeight="1">
      <c r="A94" s="6" t="inlineStr">
        <is>
          <t>#</t>
        </is>
      </c>
      <c r="B94" s="6" t="inlineStr">
        <is>
          <t>Variable a caracterizar</t>
        </is>
      </c>
      <c r="C94" s="6" t="inlineStr">
        <is>
          <t>Valor / respuesta</t>
        </is>
      </c>
      <c r="D94" s="6" t="inlineStr">
        <is>
          <t>Unidad o formato</t>
        </is>
      </c>
      <c r="E94" s="6" t="inlineStr">
        <is>
          <t>Por qué importa para la calificación del riesgo</t>
        </is>
      </c>
    </row>
    <row r="95" ht="26" customHeight="1">
      <c r="A95" s="15" t="n">
        <v>1</v>
      </c>
      <c r="B95" s="8" t="inlineStr">
        <is>
          <t>WMS / ERP utilizados y esquema de respaldo y alta disponibilidad</t>
        </is>
      </c>
      <c r="C95" s="16" t="inlineStr"/>
      <c r="D95" s="15" t="inlineStr">
        <is>
          <t>Texto</t>
        </is>
      </c>
      <c r="E95" s="8" t="inlineStr">
        <is>
          <t>Su caída paraliza el 100% de la operación en un CEDI moderno.</t>
        </is>
      </c>
    </row>
    <row r="96" ht="26" customHeight="1">
      <c r="A96" s="15" t="n">
        <v>2</v>
      </c>
      <c r="B96" s="8" t="inlineStr">
        <is>
          <t>¿Procedimiento manual de contingencia probado?</t>
        </is>
      </c>
      <c r="C96" s="16" t="inlineStr"/>
      <c r="D96" s="15" t="inlineStr">
        <is>
          <t>Sí / No + fecha</t>
        </is>
      </c>
      <c r="E96" s="8" t="inlineStr">
        <is>
          <t>Es la diferencia entre operar degradado y detenerse por completo.</t>
        </is>
      </c>
    </row>
    <row r="97" ht="26" customHeight="1">
      <c r="A97" s="15" t="n">
        <v>3</v>
      </c>
      <c r="B97" s="8" t="inlineStr">
        <is>
          <t>Aseguradora, valores asegurados (edificio, contenido, lucro cesante) y deducibles</t>
        </is>
      </c>
      <c r="C97" s="16" t="inlineStr"/>
      <c r="D97" s="15" t="inlineStr">
        <is>
          <t>Moneda</t>
        </is>
      </c>
      <c r="E97" s="8" t="inlineStr">
        <is>
          <t>Define cuánto de la pérdida es realmente transferida.</t>
        </is>
      </c>
    </row>
    <row r="98" ht="26" customHeight="1">
      <c r="A98" s="15" t="n">
        <v>4</v>
      </c>
      <c r="B98" s="8" t="inlineStr">
        <is>
          <t>Recomendaciones de la última inspección de la aseguradora y su estado de cierre</t>
        </is>
      </c>
      <c r="C98" s="16" t="inlineStr"/>
      <c r="D98" s="15" t="inlineStr">
        <is>
          <t>Texto</t>
        </is>
      </c>
      <c r="E98" s="8" t="inlineStr">
        <is>
          <t>Recomendaciones abiertas pueden invalidar la indemnización.</t>
        </is>
      </c>
    </row>
    <row r="99" ht="39" customHeight="1">
      <c r="A99" s="15" t="n">
        <v>5</v>
      </c>
      <c r="B99" s="8" t="inlineStr">
        <is>
          <t>Histórico de eventos de los últimos 5 años (incendios, colapsos, accidentes, hurtos, inundaciones)</t>
        </is>
      </c>
      <c r="C99" s="16" t="inlineStr"/>
      <c r="D99" s="15" t="inlineStr">
        <is>
          <t>Texto</t>
        </is>
      </c>
      <c r="E99" s="8" t="inlineStr">
        <is>
          <t>La frecuencia histórica es el mejor estimador de la probabilidad futura.</t>
        </is>
      </c>
    </row>
    <row r="100" ht="26" customHeight="1">
      <c r="A100" s="15" t="n">
        <v>6</v>
      </c>
      <c r="B100" s="8" t="inlineStr">
        <is>
          <t>Indicadores actuales: accidentalidad, pérdida desconocida, ERI, averías, ocupación</t>
        </is>
      </c>
      <c r="C100" s="16" t="inlineStr"/>
      <c r="D100" s="15" t="inlineStr">
        <is>
          <t>Números</t>
        </is>
      </c>
      <c r="E100" s="8" t="inlineStr">
        <is>
          <t>Permiten calificar con datos y no con percepción.</t>
        </is>
      </c>
    </row>
    <row r="101" ht="26" customHeight="1">
      <c r="A101" s="15" t="n">
        <v>7</v>
      </c>
      <c r="B101" s="8" t="inlineStr">
        <is>
          <t>¿Existe plan de continuidad del negocio (BCP) probado?</t>
        </is>
      </c>
      <c r="C101" s="16" t="inlineStr"/>
      <c r="D101" s="15" t="inlineStr">
        <is>
          <t>Sí / No + fecha</t>
        </is>
      </c>
      <c r="E101" s="8" t="inlineStr">
        <is>
          <t>Determina el tiempo de recuperación tras un siniestro mayor.</t>
        </is>
      </c>
    </row>
  </sheetData>
  <mergeCells count="9">
    <mergeCell ref="A83:E83"/>
    <mergeCell ref="A73:E73"/>
    <mergeCell ref="A16:E16"/>
    <mergeCell ref="A54:E54"/>
    <mergeCell ref="A42:E42"/>
    <mergeCell ref="A63:E63"/>
    <mergeCell ref="A5:E5"/>
    <mergeCell ref="A93:E93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T12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27" customWidth="1" min="3" max="3"/>
    <col width="38" customWidth="1" min="4" max="4"/>
    <col width="44" customWidth="1" min="5" max="5"/>
    <col width="38" customWidth="1" min="6" max="6"/>
    <col width="50" customWidth="1" min="7" max="7"/>
    <col width="30" customWidth="1" min="8" max="8"/>
    <col width="5" customWidth="1" min="9" max="9"/>
    <col width="5" customWidth="1" min="10" max="10"/>
    <col width="7" customWidth="1" min="11" max="11"/>
    <col width="11" customWidth="1" min="12" max="12"/>
    <col width="32" customWidth="1" min="13" max="13"/>
    <col width="40" customWidth="1" min="14" max="14"/>
    <col width="30" customWidth="1" min="15" max="15"/>
    <col width="22" customWidth="1" min="16" max="16"/>
    <col width="10" customWidth="1" min="17" max="17"/>
    <col width="28" customWidth="1" min="18" max="18"/>
    <col width="28" customWidth="1" min="19" max="19"/>
    <col width="13" customWidth="1" min="20" max="20"/>
  </cols>
  <sheetData>
    <row r="1">
      <c r="A1" s="1" t="inlineStr">
        <is>
          <t>MATRIZ DE RIESGOS Y CHECKLIST DE VERIFICACIÓN — CENTRO DE DISTRIBUCIÓN</t>
        </is>
      </c>
    </row>
    <row r="2">
      <c r="A2" s="3" t="inlineStr">
        <is>
          <t>P e I precargados = riesgo INHERENTE típico (sin descontar la eficacia de los controles del sitio): AJÚSTELOS con la caracterización. Si al verificar en campo el control existe y es eficaz, baje la probabilidad — eso es el riesgo residual.  ·  P×I, Nivel y Frecuencia mínima se calculan solos.  ·  Entre la frecuencia calculada y la técnica, prevalece la más exigente.</t>
        </is>
      </c>
    </row>
    <row r="4" ht="46" customHeight="1">
      <c r="A4" s="6" t="inlineStr">
        <is>
          <t>ID</t>
        </is>
      </c>
      <c r="B4" s="6" t="inlineStr">
        <is>
          <t>Categoría de riesgo</t>
        </is>
      </c>
      <c r="C4" s="6" t="inlineStr">
        <is>
          <t>Elemento / componente</t>
        </is>
      </c>
      <c r="D4" s="6" t="inlineStr">
        <is>
          <t>Evento de riesgo (qué puede pasar)</t>
        </is>
      </c>
      <c r="E4" s="6" t="inlineStr">
        <is>
          <t>Causas y factores desencadenantes</t>
        </is>
      </c>
      <c r="F4" s="6" t="inlineStr">
        <is>
          <t>Consecuencia potencial</t>
        </is>
      </c>
      <c r="G4" s="6" t="inlineStr">
        <is>
          <t>QUÉ VERIFICAR (punto de control del checklist)</t>
        </is>
      </c>
      <c r="H4" s="6" t="inlineStr">
        <is>
          <t>Evidencia o registro esperado</t>
        </is>
      </c>
      <c r="I4" s="6" t="inlineStr">
        <is>
          <t>P</t>
        </is>
      </c>
      <c r="J4" s="6" t="inlineStr">
        <is>
          <t>I</t>
        </is>
      </c>
      <c r="K4" s="6" t="inlineStr">
        <is>
          <t>P×I</t>
        </is>
      </c>
      <c r="L4" s="6" t="inlineStr">
        <is>
          <t>Nivel</t>
        </is>
      </c>
      <c r="M4" s="6" t="inlineStr">
        <is>
          <t>Frecuencia mínima según criticidad (calculada)</t>
        </is>
      </c>
      <c r="N4" s="6" t="inlineStr">
        <is>
          <t>Frecuencia técnica recomendada (norma / buena práctica)</t>
        </is>
      </c>
      <c r="O4" s="6" t="inlineStr">
        <is>
          <t>Referencia normativa o estándar</t>
        </is>
      </c>
      <c r="P4" s="6" t="inlineStr">
        <is>
          <t>Responsable</t>
        </is>
      </c>
      <c r="Q4" s="6" t="inlineStr">
        <is>
          <t>Cumple</t>
        </is>
      </c>
      <c r="R4" s="6" t="inlineStr">
        <is>
          <t>Hallazgo / observación</t>
        </is>
      </c>
      <c r="S4" s="6" t="inlineStr">
        <is>
          <t>Acción requerida</t>
        </is>
      </c>
      <c r="T4" s="6" t="inlineStr">
        <is>
          <t>Fecha límite</t>
        </is>
      </c>
    </row>
    <row r="5" ht="42" customHeight="1">
      <c r="A5" s="17" t="inlineStr">
        <is>
          <t>A-01</t>
        </is>
      </c>
      <c r="B5" s="18" t="inlineStr">
        <is>
          <t>A. Infraestructura y edificio</t>
        </is>
      </c>
      <c r="C5" s="8" t="inlineStr">
        <is>
          <t>Estructura portante (columnas, cerchas)</t>
        </is>
      </c>
      <c r="D5" s="8" t="inlineStr">
        <is>
          <t>Deterioro, corrosión o daño estructural por impacto de equipos</t>
        </is>
      </c>
      <c r="E5" s="8" t="inlineStr">
        <is>
          <t>Impactos de montacargas sin protección; corrosión por humedad/salinidad; falta de mantenimiento; sobrecarga de cubierta</t>
        </is>
      </c>
      <c r="F5" s="8" t="inlineStr">
        <is>
          <t>Colapso parcial o total, fatalidades, pérdida total del inventario, paro prolongado</t>
        </is>
      </c>
      <c r="G5" s="8" t="inlineStr">
        <is>
          <t>Inspección visual de columnas, bases, placas y arriostramientos; verificar protectores en columnas expuestas a tránsito</t>
        </is>
      </c>
      <c r="H5" s="8" t="inlineStr">
        <is>
          <t>Informe de evaluación estructural firmado por ingeniero; registro fotográfico</t>
        </is>
      </c>
      <c r="I5" s="19" t="n">
        <v>2</v>
      </c>
      <c r="J5" s="19" t="n">
        <v>5</v>
      </c>
      <c r="K5" s="17">
        <f>IF(OR($I5="",$J5=""),"",$I5*$J5)</f>
        <v>10</v>
      </c>
      <c r="L5" s="17" t="str">
        <f>IF($K5="","",IF($K5&gt;=20,"Extremo",IF($K5&gt;=12,"Alto",IF($K5&gt;=6,"Medio",IF($K5&gt;=3,"Bajo","Muy bajo")))))</f>
        <v>Medio</v>
      </c>
      <c r="M5" s="8" t="str">
        <f>IFERROR(VLOOKUP($L5,'3. Escalas y Criterios'!$A$30:$C$34,3,FALSE),"")</f>
        <v>Mensual para elementos operativos; trimestral para elementos estructurales o de instalación</v>
      </c>
      <c r="N5" s="8" t="inlineStr">
        <is>
          <t>Visual mensual; evaluación estructural profesional cada 1-3 años y después de sismo/impacto mayor</t>
        </is>
      </c>
      <c r="O5" s="8" t="inlineStr">
        <is>
          <t>NSR-10 / IBC; ISO 31000</t>
        </is>
      </c>
      <c r="P5" s="8" t="inlineStr">
        <is>
          <t>Mantenimiento / Ingeniería</t>
        </is>
      </c>
      <c r="Q5" s="19" t="n"/>
      <c r="R5" s="16" t="n"/>
      <c r="S5" s="16" t="n"/>
      <c r="T5" s="20" t="n"/>
    </row>
    <row r="6" ht="42" customHeight="1">
      <c r="A6" s="17" t="inlineStr">
        <is>
          <t>A-02</t>
        </is>
      </c>
      <c r="B6" s="18" t="inlineStr">
        <is>
          <t>A. Infraestructura y edificio</t>
        </is>
      </c>
      <c r="C6" s="8" t="inlineStr">
        <is>
          <t>Cubierta y sistema de drenaje</t>
        </is>
      </c>
      <c r="D6" s="8" t="inlineStr">
        <is>
          <t>Colapso o filtración por acumulación de agua, granizo u obstrucción de canales</t>
        </is>
      </c>
      <c r="E6" s="8" t="inlineStr">
        <is>
          <t>Canaletas y bajantes obstruidas; láminas corroidas; pendiente insuficiente; granizada intensa</t>
        </is>
      </c>
      <c r="F6" s="8" t="inlineStr">
        <is>
          <t>Daño masivo de producto por agua, colapso de cubierta, paro operativo, reclamo de seguro</t>
        </is>
      </c>
      <c r="G6" s="8" t="inlineStr">
        <is>
          <t>Revisar canales, bajantes, tragantes, sellos de lucernarios y fijaciones; medir espesor/corrosión</t>
        </is>
      </c>
      <c r="H6" s="8" t="inlineStr">
        <is>
          <t>Orden de trabajo de limpieza de cubierta; registro fotográfico antes/después</t>
        </is>
      </c>
      <c r="I6" s="19" t="n">
        <v>3</v>
      </c>
      <c r="J6" s="19" t="n">
        <v>4</v>
      </c>
      <c r="K6" s="17">
        <f>IF(OR($I6="",$J6=""),"",$I6*$J6)</f>
        <v>12</v>
      </c>
      <c r="L6" s="17" t="str">
        <f>IF($K6="","",IF($K6&gt;=20,"Extremo",IF($K6&gt;=12,"Alto",IF($K6&gt;=6,"Medio",IF($K6&gt;=3,"Bajo","Muy bajo")))))</f>
        <v>Alto</v>
      </c>
      <c r="M6" s="8" t="str">
        <f>IFERROR(VLOOKUP($L6,'3. Escalas y Criterios'!$A$30:$C$34,3,FALSE),"")</f>
        <v>Semanal (verificación) + inspección formal mensual documentada</v>
      </c>
      <c r="N6" s="8" t="inlineStr">
        <is>
          <t>Limpieza y revisión trimestral y obligatoria antes de temporada de lluvias</t>
        </is>
      </c>
      <c r="O6" s="8" t="inlineStr">
        <is>
          <t>Manual del fabricante; póliza de seguro</t>
        </is>
      </c>
      <c r="P6" s="8" t="inlineStr">
        <is>
          <t>Mantenimiento</t>
        </is>
      </c>
      <c r="Q6" s="19" t="n"/>
      <c r="R6" s="16" t="n"/>
      <c r="S6" s="16" t="n"/>
      <c r="T6" s="20" t="n"/>
    </row>
    <row r="7" ht="48" customHeight="1">
      <c r="A7" s="17" t="inlineStr">
        <is>
          <t>A-03</t>
        </is>
      </c>
      <c r="B7" s="18" t="inlineStr">
        <is>
          <t>A. Infraestructura y edificio</t>
        </is>
      </c>
      <c r="C7" s="8" t="inlineStr">
        <is>
          <t>Piso industrial / losa</t>
        </is>
      </c>
      <c r="D7" s="8" t="inlineStr">
        <is>
          <t>Fisuras, hundimientos o capacidad portante insuficiente (t/m2)</t>
        </is>
      </c>
      <c r="E7" s="8" t="inlineStr">
        <is>
          <t>Diseño original inferior a la carga actual de racks; juntas deterioradas; humedad en subrasante; cambio de sistema de almacenamiento</t>
        </is>
      </c>
      <c r="F7" s="8" t="inlineStr">
        <is>
          <t>Desnivel de estantería y riesgo de colapso, daño de MHE, accidentes por caída</t>
        </is>
      </c>
      <c r="G7" s="8" t="inlineStr">
        <is>
          <t>Verificar planitud, estado de juntas, fisuras bajo placas base, capacidad de diseño vs. carga puntual de montantes</t>
        </is>
      </c>
      <c r="H7" s="8" t="inlineStr">
        <is>
          <t>Estudio de piso / memoria de capacidad portante; reporte de nivelación</t>
        </is>
      </c>
      <c r="I7" s="19" t="n">
        <v>3</v>
      </c>
      <c r="J7" s="19" t="n">
        <v>4</v>
      </c>
      <c r="K7" s="17">
        <f>IF(OR($I7="",$J7=""),"",$I7*$J7)</f>
        <v>12</v>
      </c>
      <c r="L7" s="17" t="str">
        <f>IF($K7="","",IF($K7&gt;=20,"Extremo",IF($K7&gt;=12,"Alto",IF($K7&gt;=6,"Medio",IF($K7&gt;=3,"Bajo","Muy bajo")))))</f>
        <v>Alto</v>
      </c>
      <c r="M7" s="8" t="str">
        <f>IFERROR(VLOOKUP($L7,'3. Escalas y Criterios'!$A$30:$C$34,3,FALSE),"")</f>
        <v>Semanal (verificación) + inspección formal mensual documentada</v>
      </c>
      <c r="N7" s="8" t="inlineStr">
        <is>
          <t>Inspección visual semestral; estudio técnico ante cambio de sistema de almacenamiento</t>
        </is>
      </c>
      <c r="O7" s="8" t="inlineStr">
        <is>
          <t>EN 15620; ACI 302 / NSR-10</t>
        </is>
      </c>
      <c r="P7" s="8" t="inlineStr">
        <is>
          <t>Mantenimiento / Ingeniería</t>
        </is>
      </c>
      <c r="Q7" s="19" t="n"/>
      <c r="R7" s="16" t="n"/>
      <c r="S7" s="16" t="n"/>
      <c r="T7" s="20" t="n"/>
    </row>
    <row r="8" ht="42" customHeight="1">
      <c r="A8" s="17" t="inlineStr">
        <is>
          <t>A-04</t>
        </is>
      </c>
      <c r="B8" s="18" t="inlineStr">
        <is>
          <t>A. Infraestructura y edificio</t>
        </is>
      </c>
      <c r="C8" s="8" t="inlineStr">
        <is>
          <t>Sectorización y muros cortafuego</t>
        </is>
      </c>
      <c r="D8" s="8" t="inlineStr">
        <is>
          <t>Pérdida de la sectorización contra incendio</t>
        </is>
      </c>
      <c r="E8" s="8" t="inlineStr">
        <is>
          <t>Perforaciones sin sellar para ductos/cables; puertas cortafuego bloqueadas o con cuña; muros incompletos hasta cubierta</t>
        </is>
      </c>
      <c r="F8" s="8" t="inlineStr">
        <is>
          <t>Propagación de incendio a toda la bodega; pérdida total; incumplimiento de garantía de la póliza</t>
        </is>
      </c>
      <c r="G8" s="8" t="inlineStr">
        <is>
          <t>Verificar sellos cortafuego, cierre automático de puertas, ausencia de obstrucciones y continuidad del muro</t>
        </is>
      </c>
      <c r="H8" s="8" t="inlineStr">
        <is>
          <t>Certificado de sellos cortafuego; checklist de puertas</t>
        </is>
      </c>
      <c r="I8" s="19" t="n">
        <v>3</v>
      </c>
      <c r="J8" s="19" t="n">
        <v>5</v>
      </c>
      <c r="K8" s="17">
        <f>IF(OR($I8="",$J8=""),"",$I8*$J8)</f>
        <v>15</v>
      </c>
      <c r="L8" s="17" t="str">
        <f>IF($K8="","",IF($K8&gt;=20,"Extremo",IF($K8&gt;=12,"Alto",IF($K8&gt;=6,"Medio",IF($K8&gt;=3,"Bajo","Muy bajo")))))</f>
        <v>Alto</v>
      </c>
      <c r="M8" s="8" t="str">
        <f>IFERROR(VLOOKUP($L8,'3. Escalas y Criterios'!$A$30:$C$34,3,FALSE),"")</f>
        <v>Semanal (verificación) + inspección formal mensual documentada</v>
      </c>
      <c r="N8" s="8" t="inlineStr">
        <is>
          <t>Trimestral</t>
        </is>
      </c>
      <c r="O8" s="8" t="inlineStr">
        <is>
          <t>NFPA 221 / NFPA 80</t>
        </is>
      </c>
      <c r="P8" s="8" t="inlineStr">
        <is>
          <t>Mantenimiento / HSE</t>
        </is>
      </c>
      <c r="Q8" s="19" t="n"/>
      <c r="R8" s="16" t="n"/>
      <c r="S8" s="16" t="n"/>
      <c r="T8" s="20" t="n"/>
    </row>
    <row r="9" ht="42" customHeight="1">
      <c r="A9" s="17" t="inlineStr">
        <is>
          <t>A-05</t>
        </is>
      </c>
      <c r="B9" s="18" t="inlineStr">
        <is>
          <t>A. Infraestructura y edificio</t>
        </is>
      </c>
      <c r="C9" s="8" t="inlineStr">
        <is>
          <t>Cerramiento, cubierta y humedad</t>
        </is>
      </c>
      <c r="D9" s="8" t="inlineStr">
        <is>
          <t>Ingreso de agua, polvo o plagas por deterioro de la envolvente</t>
        </is>
      </c>
      <c r="E9" s="8" t="inlineStr">
        <is>
          <t>Sellos de muelle deteriorados; láminas sueltas; ventanas rotas; falta de barreras</t>
        </is>
      </c>
      <c r="F9" s="8" t="inlineStr">
        <is>
          <t>Daño y contaminación de producto, no conformidad sanitaria</t>
        </is>
      </c>
      <c r="G9" s="8" t="inlineStr">
        <is>
          <t>Inspección perimetral de muros, techos, sellos, mallas y sifones</t>
        </is>
      </c>
      <c r="H9" s="8" t="inlineStr">
        <is>
          <t>Checklist de infraestructura; registro MIP</t>
        </is>
      </c>
      <c r="I9" s="19" t="n">
        <v>3</v>
      </c>
      <c r="J9" s="19" t="n">
        <v>3</v>
      </c>
      <c r="K9" s="17">
        <f>IF(OR($I9="",$J9=""),"",$I9*$J9)</f>
        <v>9</v>
      </c>
      <c r="L9" s="17" t="str">
        <f>IF($K9="","",IF($K9&gt;=20,"Extremo",IF($K9&gt;=12,"Alto",IF($K9&gt;=6,"Medio",IF($K9&gt;=3,"Bajo","Muy bajo")))))</f>
        <v>Medio</v>
      </c>
      <c r="M9" s="8" t="str">
        <f>IFERROR(VLOOKUP($L9,'3. Escalas y Criterios'!$A$30:$C$34,3,FALSE),"")</f>
        <v>Mensual para elementos operativos; trimestral para elementos estructurales o de instalación</v>
      </c>
      <c r="N9" s="8" t="inlineStr">
        <is>
          <t>Semestral</t>
        </is>
      </c>
      <c r="O9" s="8" t="inlineStr">
        <is>
          <t>BPM / HACCP (si aplica alimentos)</t>
        </is>
      </c>
      <c r="P9" s="8" t="inlineStr">
        <is>
          <t>Mantenimiento / Calidad</t>
        </is>
      </c>
      <c r="Q9" s="19" t="n"/>
      <c r="R9" s="16" t="n"/>
      <c r="S9" s="16" t="n"/>
      <c r="T9" s="20" t="n"/>
    </row>
    <row r="10" ht="42" customHeight="1">
      <c r="A10" s="17" t="inlineStr">
        <is>
          <t>A-06</t>
        </is>
      </c>
      <c r="B10" s="18" t="inlineStr">
        <is>
          <t>A. Infraestructura y edificio</t>
        </is>
      </c>
      <c r="C10" s="8" t="inlineStr">
        <is>
          <t>Altura libre y espacio bajo rociadores</t>
        </is>
      </c>
      <c r="D10" s="8" t="inlineStr">
        <is>
          <t>Almacenamiento por encima de la altura de diseño</t>
        </is>
      </c>
      <c r="E10" s="8" t="inlineStr">
        <is>
          <t>Presión por capacidad; ausencia de topes o indicadores de altura máxima</t>
        </is>
      </c>
      <c r="F10" s="8" t="inlineStr">
        <is>
          <t>Falla del sistema de rociadores en incendio; siniestro no cubierto por la póliza</t>
        </is>
      </c>
      <c r="G10" s="8" t="inlineStr">
        <is>
          <t>Medir distancia libre entre la carga y el deflector del rociador (mínimo 45 cm) y respetar altura máxima de almacenamiento</t>
        </is>
      </c>
      <c r="H10" s="8" t="inlineStr">
        <is>
          <t>Registro de medición; señalización de altura máxima en pasillos</t>
        </is>
      </c>
      <c r="I10" s="19" t="n">
        <v>4</v>
      </c>
      <c r="J10" s="19" t="n">
        <v>5</v>
      </c>
      <c r="K10" s="17">
        <f>IF(OR($I10="",$J10=""),"",$I10*$J10)</f>
        <v>20</v>
      </c>
      <c r="L10" s="17" t="str">
        <f>IF($K10="","",IF($K10&gt;=20,"Extremo",IF($K10&gt;=12,"Alto",IF($K10&gt;=6,"Medio",IF($K10&gt;=3,"Bajo","Muy bajo")))))</f>
        <v>Extremo</v>
      </c>
      <c r="M10" s="8" t="str">
        <f>IFERROR(VLOOKUP($L10,'3. Escalas y Criterios'!$A$30:$C$34,3,FALSE),"")</f>
        <v>Diaria o por turno (verificación operativa) + inspección formal semanal documentada</v>
      </c>
      <c r="N10" s="8" t="inlineStr">
        <is>
          <t>Mensual (y en cada auditoría de layout)</t>
        </is>
      </c>
      <c r="O10" s="8" t="inlineStr">
        <is>
          <t>NFPA 13</t>
        </is>
      </c>
      <c r="P10" s="8" t="inlineStr">
        <is>
          <t>Jefe de CEDI / HSE</t>
        </is>
      </c>
      <c r="Q10" s="19" t="n"/>
      <c r="R10" s="16" t="n"/>
      <c r="S10" s="16" t="n"/>
      <c r="T10" s="20" t="n"/>
    </row>
    <row r="11" ht="42" customHeight="1">
      <c r="A11" s="17" t="inlineStr">
        <is>
          <t>B-01</t>
        </is>
      </c>
      <c r="B11" s="21" t="inlineStr">
        <is>
          <t>B. Estantería y sistemas de almacenamiento</t>
        </is>
      </c>
      <c r="C11" s="8" t="inlineStr">
        <is>
          <t>Racks selectivos - capacidad de carga</t>
        </is>
      </c>
      <c r="D11" s="8" t="inlineStr">
        <is>
          <t>Sobrecarga de estantería por exceder capacidad por nivel o por módulo</t>
        </is>
      </c>
      <c r="E11" s="8" t="inlineStr">
        <is>
          <t>Ausencia de placas de carga; pallets más pesados que el diseño; cambio de producto sin recálculo; desconocimiento del operador</t>
        </is>
      </c>
      <c r="F11" s="8" t="inlineStr">
        <is>
          <t>Colapso progresivo (efecto domino) con fatalidades y pérdida total de inventario</t>
        </is>
      </c>
      <c r="G11" s="8" t="inlineStr">
        <is>
          <t>Verificar existencia y vigencia de placas de carga visibles por módulo; comparar peso real del pallet vs. capacidad declarada</t>
        </is>
      </c>
      <c r="H11" s="8" t="inlineStr">
        <is>
          <t>Memoria de cálculo del fabricante; placas de carga; muestreo de pesaje de pallets</t>
        </is>
      </c>
      <c r="I11" s="19" t="n">
        <v>4</v>
      </c>
      <c r="J11" s="19" t="n">
        <v>5</v>
      </c>
      <c r="K11" s="17">
        <f>IF(OR($I11="",$J11=""),"",$I11*$J11)</f>
        <v>20</v>
      </c>
      <c r="L11" s="17" t="str">
        <f>IF($K11="","",IF($K11&gt;=20,"Extremo",IF($K11&gt;=12,"Alto",IF($K11&gt;=6,"Medio",IF($K11&gt;=3,"Bajo","Muy bajo")))))</f>
        <v>Extremo</v>
      </c>
      <c r="M11" s="8" t="str">
        <f>IFERROR(VLOOKUP($L11,'3. Escalas y Criterios'!$A$30:$C$34,3,FALSE),"")</f>
        <v>Diaria o por turno (verificación operativa) + inspección formal semanal documentada</v>
      </c>
      <c r="N11" s="8" t="inlineStr">
        <is>
          <t>Verificación visual semanal; inspección experta anual por tercero competente</t>
        </is>
      </c>
      <c r="O11" s="8" t="inlineStr">
        <is>
          <t>EN 15635 / EN 15512 / RMI ANSI MH16.1</t>
        </is>
      </c>
      <c r="P11" s="8" t="inlineStr">
        <is>
          <t>PRRS - Responsable de Seguridad de Estantería</t>
        </is>
      </c>
      <c r="Q11" s="19" t="n"/>
      <c r="R11" s="16" t="n"/>
      <c r="S11" s="16" t="n"/>
      <c r="T11" s="20" t="n"/>
    </row>
    <row r="12" ht="48" customHeight="1">
      <c r="A12" s="17" t="inlineStr">
        <is>
          <t>B-02</t>
        </is>
      </c>
      <c r="B12" s="21" t="inlineStr">
        <is>
          <t>B. Estantería y sistemas de almacenamiento</t>
        </is>
      </c>
      <c r="C12" s="8" t="inlineStr">
        <is>
          <t>Racks - daño por impacto</t>
        </is>
      </c>
      <c r="D12" s="8" t="inlineStr">
        <is>
          <t>Montantes, diagonales o vigas deformados por impacto de MHE</t>
        </is>
      </c>
      <c r="E12" s="8" t="inlineStr">
        <is>
          <t>Pasillos estrechos; velocidad excesiva; falta de protectores; operadores sin destreza; iluminación deficiente</t>
        </is>
      </c>
      <c r="F12" s="8" t="inlineStr">
        <is>
          <t>Pérdida de capacidad estructural (hasta 70%) y colapso de la línea de racks</t>
        </is>
      </c>
      <c r="G12" s="8" t="inlineStr">
        <is>
          <t>Recorrido de inspección con clasificación de daño por semáforo: VERDE (monitorear), ÁMBAR (reparar programado), ROJO (descargar y bloquear de inmediato)</t>
        </is>
      </c>
      <c r="H12" s="8" t="inlineStr">
        <is>
          <t>Formato de inspección de estantería con código de módulo y nivel; fotos; ordenes de reparación</t>
        </is>
      </c>
      <c r="I12" s="19" t="n">
        <v>4</v>
      </c>
      <c r="J12" s="19" t="n">
        <v>5</v>
      </c>
      <c r="K12" s="17">
        <f>IF(OR($I12="",$J12=""),"",$I12*$J12)</f>
        <v>20</v>
      </c>
      <c r="L12" s="17" t="str">
        <f>IF($K12="","",IF($K12&gt;=20,"Extremo",IF($K12&gt;=12,"Alto",IF($K12&gt;=6,"Medio",IF($K12&gt;=3,"Bajo","Muy bajo")))))</f>
        <v>Extremo</v>
      </c>
      <c r="M12" s="8" t="str">
        <f>IFERROR(VLOOKUP($L12,'3. Escalas y Criterios'!$A$30:$C$34,3,FALSE),"")</f>
        <v>Diaria o por turno (verificación operativa) + inspección formal semanal documentada</v>
      </c>
      <c r="N12" s="8" t="inlineStr">
        <is>
          <t>Reporte inmediato por cualquier trabajador; inspección visual semanal por el PRRS; inspección experta anual</t>
        </is>
      </c>
      <c r="O12" s="8" t="inlineStr">
        <is>
          <t>EN 15635 sección 9</t>
        </is>
      </c>
      <c r="P12" s="8" t="inlineStr">
        <is>
          <t>PRRS / Jefe de CEDI</t>
        </is>
      </c>
      <c r="Q12" s="19" t="n"/>
      <c r="R12" s="16" t="n"/>
      <c r="S12" s="16" t="n"/>
      <c r="T12" s="20" t="n"/>
    </row>
    <row r="13" ht="42" customHeight="1">
      <c r="A13" s="17" t="inlineStr">
        <is>
          <t>B-03</t>
        </is>
      </c>
      <c r="B13" s="21" t="inlineStr">
        <is>
          <t>B. Estantería y sistemas de almacenamiento</t>
        </is>
      </c>
      <c r="C13" s="8" t="inlineStr">
        <is>
          <t>Racks - anclaje al piso</t>
        </is>
      </c>
      <c r="D13" s="8" t="inlineStr">
        <is>
          <t>Montantes sin anclaje, con anclaje flojo o placa base fisurada</t>
        </is>
      </c>
      <c r="E13" s="8" t="inlineStr">
        <is>
          <t>Montaje deficiente; reubicación de racks sin reanclar; losa deteriorada; ausencia de torque especificado</t>
        </is>
      </c>
      <c r="F13" s="8" t="inlineStr">
        <is>
          <t>Volcamiento de la línea de estantería, especialmente ante sismo o impacto</t>
        </is>
      </c>
      <c r="G13" s="8" t="inlineStr">
        <is>
          <t>Verificar presencia, cantidad y torque de pernos de anclaje; estado de placas base y nivelación</t>
        </is>
      </c>
      <c r="H13" s="8" t="inlineStr">
        <is>
          <t>Protocolo de torque; registro de montaje; certificado del instalador</t>
        </is>
      </c>
      <c r="I13" s="19" t="n">
        <v>3</v>
      </c>
      <c r="J13" s="19" t="n">
        <v>5</v>
      </c>
      <c r="K13" s="17">
        <f>IF(OR($I13="",$J13=""),"",$I13*$J13)</f>
        <v>15</v>
      </c>
      <c r="L13" s="17" t="str">
        <f>IF($K13="","",IF($K13&gt;=20,"Extremo",IF($K13&gt;=12,"Alto",IF($K13&gt;=6,"Medio",IF($K13&gt;=3,"Bajo","Muy bajo")))))</f>
        <v>Alto</v>
      </c>
      <c r="M13" s="8" t="str">
        <f>IFERROR(VLOOKUP($L13,'3. Escalas y Criterios'!$A$30:$C$34,3,FALSE),"")</f>
        <v>Semanal (verificación) + inspección formal mensual documentada</v>
      </c>
      <c r="N13" s="8" t="inlineStr">
        <is>
          <t>Anual (y 100% tras reubicación o sismo)</t>
        </is>
      </c>
      <c r="O13" s="8" t="inlineStr">
        <is>
          <t>EN 15629 / EN 15635</t>
        </is>
      </c>
      <c r="P13" s="8" t="inlineStr">
        <is>
          <t>PRRS / Mantenimiento</t>
        </is>
      </c>
      <c r="Q13" s="19" t="n"/>
      <c r="R13" s="16" t="n"/>
      <c r="S13" s="16" t="n"/>
      <c r="T13" s="20" t="n"/>
    </row>
    <row r="14" ht="42" customHeight="1">
      <c r="A14" s="17" t="inlineStr">
        <is>
          <t>B-04</t>
        </is>
      </c>
      <c r="B14" s="21" t="inlineStr">
        <is>
          <t>B. Estantería y sistemas de almacenamiento</t>
        </is>
      </c>
      <c r="C14" s="8" t="inlineStr">
        <is>
          <t>Racks - conectores y pasadores de seguridad</t>
        </is>
      </c>
      <c r="D14" s="8" t="inlineStr">
        <is>
          <t>Vigas sin pasador o clip de seguridad</t>
        </is>
      </c>
      <c r="E14" s="8" t="inlineStr">
        <is>
          <t>Pérdida durante el montaje o reconfiguración; no reposición tras cambio de nivel</t>
        </is>
      </c>
      <c r="F14" s="8" t="inlineStr">
        <is>
          <t>Desenganche de la viga al elevar el pallet; caída de carga sobre personal</t>
        </is>
      </c>
      <c r="G14" s="8" t="inlineStr">
        <is>
          <t>Verificación muestreada de pasadores en 100% de vigas por zona</t>
        </is>
      </c>
      <c r="H14" s="8" t="inlineStr">
        <is>
          <t>Checklist de inspección visual; registro de reposición</t>
        </is>
      </c>
      <c r="I14" s="19" t="n">
        <v>3</v>
      </c>
      <c r="J14" s="19" t="n">
        <v>5</v>
      </c>
      <c r="K14" s="17">
        <f>IF(OR($I14="",$J14=""),"",$I14*$J14)</f>
        <v>15</v>
      </c>
      <c r="L14" s="17" t="str">
        <f>IF($K14="","",IF($K14&gt;=20,"Extremo",IF($K14&gt;=12,"Alto",IF($K14&gt;=6,"Medio",IF($K14&gt;=3,"Bajo","Muy bajo")))))</f>
        <v>Alto</v>
      </c>
      <c r="M14" s="8" t="str">
        <f>IFERROR(VLOOKUP($L14,'3. Escalas y Criterios'!$A$30:$C$34,3,FALSE),"")</f>
        <v>Semanal (verificación) + inspección formal mensual documentada</v>
      </c>
      <c r="N14" s="8" t="inlineStr">
        <is>
          <t>Mensual (muestreo por zona) + tras cada reconfiguración</t>
        </is>
      </c>
      <c r="O14" s="8" t="inlineStr">
        <is>
          <t>EN 15635</t>
        </is>
      </c>
      <c r="P14" s="8" t="inlineStr">
        <is>
          <t>PRRS</t>
        </is>
      </c>
      <c r="Q14" s="19" t="n"/>
      <c r="R14" s="16" t="n"/>
      <c r="S14" s="16" t="n"/>
      <c r="T14" s="20" t="n"/>
    </row>
    <row r="15" ht="42" customHeight="1">
      <c r="A15" s="17" t="inlineStr">
        <is>
          <t>B-05</t>
        </is>
      </c>
      <c r="B15" s="21" t="inlineStr">
        <is>
          <t>B. Estantería y sistemas de almacenamiento</t>
        </is>
      </c>
      <c r="C15" s="8" t="inlineStr">
        <is>
          <t>Racks - protección perimetral</t>
        </is>
      </c>
      <c r="D15" s="8" t="inlineStr">
        <is>
          <t>Ausencia de protectores de columna, guardarrail de fin de pasillo y topes de pallet</t>
        </is>
      </c>
      <c r="E15" s="8" t="inlineStr">
        <is>
          <t>No incluidos en el diseño; retirados por mantenimiento; deterioro por impactos previos</t>
        </is>
      </c>
      <c r="F15" s="8" t="inlineStr">
        <is>
          <t>Impacto directo sobre montantes y colapso; empuje del pallet hacia el pasillo contrario</t>
        </is>
      </c>
      <c r="G15" s="8" t="inlineStr">
        <is>
          <t>Verificar protectores en columnas de esquina, extremos de pasillo, zonas de tránsito y cerca de muelles</t>
        </is>
      </c>
      <c r="H15" s="8" t="inlineStr">
        <is>
          <t>Plano de protección perimetral; checklist</t>
        </is>
      </c>
      <c r="I15" s="19" t="n">
        <v>4</v>
      </c>
      <c r="J15" s="19" t="n">
        <v>3</v>
      </c>
      <c r="K15" s="17">
        <f>IF(OR($I15="",$J15=""),"",$I15*$J15)</f>
        <v>12</v>
      </c>
      <c r="L15" s="17" t="str">
        <f>IF($K15="","",IF($K15&gt;=20,"Extremo",IF($K15&gt;=12,"Alto",IF($K15&gt;=6,"Medio",IF($K15&gt;=3,"Bajo","Muy bajo")))))</f>
        <v>Alto</v>
      </c>
      <c r="M15" s="8" t="str">
        <f>IFERROR(VLOOKUP($L15,'3. Escalas y Criterios'!$A$30:$C$34,3,FALSE),"")</f>
        <v>Semanal (verificación) + inspección formal mensual documentada</v>
      </c>
      <c r="N15" s="8" t="inlineStr">
        <is>
          <t>Mensual</t>
        </is>
      </c>
      <c r="O15" s="8" t="inlineStr">
        <is>
          <t>EN 15512 anexo / buena práctica</t>
        </is>
      </c>
      <c r="P15" s="8" t="inlineStr">
        <is>
          <t>Mantenimiento / HSE</t>
        </is>
      </c>
      <c r="Q15" s="19" t="n"/>
      <c r="R15" s="16" t="n"/>
      <c r="S15" s="16" t="n"/>
      <c r="T15" s="20" t="n"/>
    </row>
    <row r="16" ht="42" customHeight="1">
      <c r="A16" s="17" t="inlineStr">
        <is>
          <t>B-06</t>
        </is>
      </c>
      <c r="B16" s="21" t="inlineStr">
        <is>
          <t>B. Estantería y sistemas de almacenamiento</t>
        </is>
      </c>
      <c r="C16" s="8" t="inlineStr">
        <is>
          <t>Racks - modificaciones de configuración</t>
        </is>
      </c>
      <c r="D16" s="8" t="inlineStr">
        <is>
          <t>Cambio de niveles o de configuración sin recálculo estructural</t>
        </is>
      </c>
      <c r="E16" s="8" t="inlineStr">
        <is>
          <t>Reslotting; nuevos formatos de pallet; decisión operativa sin consulta técnica</t>
        </is>
      </c>
      <c r="F16" s="8" t="inlineStr">
        <is>
          <t>Pérdida de capacidad y colapso; anulación de la garantía del fabricante</t>
        </is>
      </c>
      <c r="G16" s="8" t="inlineStr">
        <is>
          <t>Verificar autorización técnica escrita para todo cambio de altura de viga o de configuración, y actualización de placas de carga</t>
        </is>
      </c>
      <c r="H16" s="8" t="inlineStr">
        <is>
          <t>Aval escrito del fabricante o ingeniero calculista; placas actualizadas</t>
        </is>
      </c>
      <c r="I16" s="19" t="n">
        <v>3</v>
      </c>
      <c r="J16" s="19" t="n">
        <v>5</v>
      </c>
      <c r="K16" s="17">
        <f>IF(OR($I16="",$J16=""),"",$I16*$J16)</f>
        <v>15</v>
      </c>
      <c r="L16" s="17" t="str">
        <f>IF($K16="","",IF($K16&gt;=20,"Extremo",IF($K16&gt;=12,"Alto",IF($K16&gt;=6,"Medio",IF($K16&gt;=3,"Bajo","Muy bajo")))))</f>
        <v>Alto</v>
      </c>
      <c r="M16" s="8" t="str">
        <f>IFERROR(VLOOKUP($L16,'3. Escalas y Criterios'!$A$30:$C$34,3,FALSE),"")</f>
        <v>Semanal (verificación) + inspección formal mensual documentada</v>
      </c>
      <c r="N16" s="8" t="inlineStr">
        <is>
          <t>En cada cambio + verificación anual de configuración vs. plano aprobado</t>
        </is>
      </c>
      <c r="O16" s="8" t="inlineStr">
        <is>
          <t>EN 15635 / EN 15629</t>
        </is>
      </c>
      <c r="P16" s="8" t="inlineStr">
        <is>
          <t>Jefe de CEDI / PRRS</t>
        </is>
      </c>
      <c r="Q16" s="19" t="n"/>
      <c r="R16" s="16" t="n"/>
      <c r="S16" s="16" t="n"/>
      <c r="T16" s="20" t="n"/>
    </row>
    <row r="17" ht="42" customHeight="1">
      <c r="A17" s="17" t="inlineStr">
        <is>
          <t>B-07</t>
        </is>
      </c>
      <c r="B17" s="21" t="inlineStr">
        <is>
          <t>B. Estantería y sistemas de almacenamiento</t>
        </is>
      </c>
      <c r="C17" s="8" t="inlineStr">
        <is>
          <t>Racks compactos (drive-in / push back / dinámicos)</t>
        </is>
      </c>
      <c r="D17" s="8" t="inlineStr">
        <is>
          <t>Impacto interno y descarrilamiento de carga en sistemas compactos</t>
        </is>
      </c>
      <c r="E17" s="8" t="inlineStr">
        <is>
          <t>Maniobra dentro del túnel sin visibilidad; guías desalineadas; rodillos desgastados; pallets no aptos</t>
        </is>
      </c>
      <c r="F17" s="8" t="inlineStr">
        <is>
          <t>Colapso de la estructura compacta con alta acumulación de inventario en el punto de falla</t>
        </is>
      </c>
      <c r="G17" s="8" t="inlineStr">
        <is>
          <t>Revisar guías, rieles, rodillos, topes, alineación y estado de carriles de entrada</t>
        </is>
      </c>
      <c r="H17" s="8" t="inlineStr">
        <is>
          <t>Checklist específico de rack compacto; mantenimiento del fabricante</t>
        </is>
      </c>
      <c r="I17" s="19" t="n">
        <v>4</v>
      </c>
      <c r="J17" s="19" t="n">
        <v>4</v>
      </c>
      <c r="K17" s="17">
        <f>IF(OR($I17="",$J17=""),"",$I17*$J17)</f>
        <v>16</v>
      </c>
      <c r="L17" s="17" t="str">
        <f>IF($K17="","",IF($K17&gt;=20,"Extremo",IF($K17&gt;=12,"Alto",IF($K17&gt;=6,"Medio",IF($K17&gt;=3,"Bajo","Muy bajo")))))</f>
        <v>Alto</v>
      </c>
      <c r="M17" s="8" t="str">
        <f>IFERROR(VLOOKUP($L17,'3. Escalas y Criterios'!$A$30:$C$34,3,FALSE),"")</f>
        <v>Semanal (verificación) + inspección formal mensual documentada</v>
      </c>
      <c r="N17" s="8" t="inlineStr">
        <is>
          <t>Semanal visual; mantenimiento especializado semestral</t>
        </is>
      </c>
      <c r="O17" s="8" t="inlineStr">
        <is>
          <t>EN 15635 / manual del fabricante</t>
        </is>
      </c>
      <c r="P17" s="8" t="inlineStr">
        <is>
          <t>PRRS / Mantenimiento</t>
        </is>
      </c>
      <c r="Q17" s="19" t="n"/>
      <c r="R17" s="16" t="n"/>
      <c r="S17" s="16" t="n"/>
      <c r="T17" s="20" t="n"/>
    </row>
    <row r="18" ht="42" customHeight="1">
      <c r="A18" s="17" t="inlineStr">
        <is>
          <t>B-08</t>
        </is>
      </c>
      <c r="B18" s="21" t="inlineStr">
        <is>
          <t>B. Estantería y sistemas de almacenamiento</t>
        </is>
      </c>
      <c r="C18" s="8" t="inlineStr">
        <is>
          <t>Mezanine / entrepiso</t>
        </is>
      </c>
      <c r="D18" s="8" t="inlineStr">
        <is>
          <t>Sobrecarga o caída de personas y producto desde entrepiso</t>
        </is>
      </c>
      <c r="E18" s="8" t="inlineStr">
        <is>
          <t>Carga superior a la de diseño; barandas incompletas; compuerta de carga sin enclavamiento; escaleras sin pasamanos</t>
        </is>
      </c>
      <c r="F18" s="8" t="inlineStr">
        <is>
          <t>Colapso del entrepiso, caída de altura con lesión grave o fatal</t>
        </is>
      </c>
      <c r="G18" s="8" t="inlineStr">
        <is>
          <t>Verificar placa de carga del entrepiso, barandas, rodapiés, compuerta pivotante y señalización</t>
        </is>
      </c>
      <c r="H18" s="8" t="inlineStr">
        <is>
          <t>Memoria de cálculo del entrepiso; checklist de barandas</t>
        </is>
      </c>
      <c r="I18" s="19" t="n">
        <v>3</v>
      </c>
      <c r="J18" s="19" t="n">
        <v>5</v>
      </c>
      <c r="K18" s="17">
        <f>IF(OR($I18="",$J18=""),"",$I18*$J18)</f>
        <v>15</v>
      </c>
      <c r="L18" s="17" t="str">
        <f>IF($K18="","",IF($K18&gt;=20,"Extremo",IF($K18&gt;=12,"Alto",IF($K18&gt;=6,"Medio",IF($K18&gt;=3,"Bajo","Muy bajo")))))</f>
        <v>Alto</v>
      </c>
      <c r="M18" s="8" t="str">
        <f>IFERROR(VLOOKUP($L18,'3. Escalas y Criterios'!$A$30:$C$34,3,FALSE),"")</f>
        <v>Semanal (verificación) + inspección formal mensual documentada</v>
      </c>
      <c r="N18" s="8" t="inlineStr">
        <is>
          <t>Trimestral</t>
        </is>
      </c>
      <c r="O18" s="8" t="inlineStr">
        <is>
          <t>NSR-10 / Resolución 1409 de 2012 (trabajo en alturas)</t>
        </is>
      </c>
      <c r="P18" s="8" t="inlineStr">
        <is>
          <t>Mantenimiento / HSE</t>
        </is>
      </c>
      <c r="Q18" s="19" t="n"/>
      <c r="R18" s="16" t="n"/>
      <c r="S18" s="16" t="n"/>
      <c r="T18" s="20" t="n"/>
    </row>
    <row r="19" ht="42" customHeight="1">
      <c r="A19" s="17" t="inlineStr">
        <is>
          <t>B-09</t>
        </is>
      </c>
      <c r="B19" s="21" t="inlineStr">
        <is>
          <t>B. Estantería y sistemas de almacenamiento</t>
        </is>
      </c>
      <c r="C19" s="8" t="inlineStr">
        <is>
          <t>Almacenamiento en bloque / apilamiento</t>
        </is>
      </c>
      <c r="D19" s="8" t="inlineStr">
        <is>
          <t>Volcamiento de rumas apiladas directamente en piso</t>
        </is>
      </c>
      <c r="E19" s="8" t="inlineStr">
        <is>
          <t>Altura excesiva; base irregular; producto mal enzunchado o con film insuficiente; piso desnivelado</t>
        </is>
      </c>
      <c r="F19" s="8" t="inlineStr">
        <is>
          <t>Aplastamiento de personal, daño total de producto</t>
        </is>
      </c>
      <c r="G19" s="8" t="inlineStr">
        <is>
          <t>Verificar altura máxima definida por familia, patrón de estiba, estabilidad y demarcación de rumas</t>
        </is>
      </c>
      <c r="H19" s="8" t="inlineStr">
        <is>
          <t>Estándar de apilamiento por producto; demarcación en piso</t>
        </is>
      </c>
      <c r="I19" s="19" t="n">
        <v>4</v>
      </c>
      <c r="J19" s="19" t="n">
        <v>4</v>
      </c>
      <c r="K19" s="17">
        <f>IF(OR($I19="",$J19=""),"",$I19*$J19)</f>
        <v>16</v>
      </c>
      <c r="L19" s="17" t="str">
        <f>IF($K19="","",IF($K19&gt;=20,"Extremo",IF($K19&gt;=12,"Alto",IF($K19&gt;=6,"Medio",IF($K19&gt;=3,"Bajo","Muy bajo")))))</f>
        <v>Alto</v>
      </c>
      <c r="M19" s="8" t="str">
        <f>IFERROR(VLOOKUP($L19,'3. Escalas y Criterios'!$A$30:$C$34,3,FALSE),"")</f>
        <v>Semanal (verificación) + inspección formal mensual documentada</v>
      </c>
      <c r="N19" s="8" t="inlineStr">
        <is>
          <t>Diaria (ronda de piso)</t>
        </is>
      </c>
      <c r="O19" s="8" t="inlineStr">
        <is>
          <t>NFPA 230 / buena práctica</t>
        </is>
      </c>
      <c r="P19" s="8" t="inlineStr">
        <is>
          <t>Supervisor de turno</t>
        </is>
      </c>
      <c r="Q19" s="19" t="n"/>
      <c r="R19" s="16" t="n"/>
      <c r="S19" s="16" t="n"/>
      <c r="T19" s="20" t="n"/>
    </row>
    <row r="20" ht="42" customHeight="1">
      <c r="A20" s="17" t="inlineStr">
        <is>
          <t>B-10</t>
        </is>
      </c>
      <c r="B20" s="21" t="inlineStr">
        <is>
          <t>B. Estantería y sistemas de almacenamiento</t>
        </is>
      </c>
      <c r="C20" s="8" t="inlineStr">
        <is>
          <t>Pallets / estibas</t>
        </is>
      </c>
      <c r="D20" s="8" t="inlineStr">
        <is>
          <t>Uso de estibas deterioradas o no aptas para el sistema de racks</t>
        </is>
      </c>
      <c r="E20" s="8" t="inlineStr">
        <is>
          <t>Rotura de tacos y tablas; mezcla de medidas; pallets de mala calidad de proveedores; estibas humedas</t>
        </is>
      </c>
      <c r="F20" s="8" t="inlineStr">
        <is>
          <t>Caída de la unidad de carga desde altura; contaminación del producto</t>
        </is>
      </c>
      <c r="G20" s="8" t="inlineStr">
        <is>
          <t>Inspección de estibas en recibo y antes de subir a rack; retiro de estibas averiadas del flujo</t>
        </is>
      </c>
      <c r="H20" s="8" t="inlineStr">
        <is>
          <t>Estándar de calidad de estiba; registro de rechazo/reparación</t>
        </is>
      </c>
      <c r="I20" s="19" t="n">
        <v>4</v>
      </c>
      <c r="J20" s="19" t="n">
        <v>4</v>
      </c>
      <c r="K20" s="17">
        <f>IF(OR($I20="",$J20=""),"",$I20*$J20)</f>
        <v>16</v>
      </c>
      <c r="L20" s="17" t="str">
        <f>IF($K20="","",IF($K20&gt;=20,"Extremo",IF($K20&gt;=12,"Alto",IF($K20&gt;=6,"Medio",IF($K20&gt;=3,"Bajo","Muy bajo")))))</f>
        <v>Alto</v>
      </c>
      <c r="M20" s="8" t="str">
        <f>IFERROR(VLOOKUP($L20,'3. Escalas y Criterios'!$A$30:$C$34,3,FALSE),"")</f>
        <v>Semanal (verificación) + inspección formal mensual documentada</v>
      </c>
      <c r="N20" s="8" t="inlineStr">
        <is>
          <t>Diaria (en recibo y antes de ubicar)</t>
        </is>
      </c>
      <c r="O20" s="8" t="inlineStr">
        <is>
          <t>EN 15635 sección 8 / especificación del proveedor</t>
        </is>
      </c>
      <c r="P20" s="8" t="inlineStr">
        <is>
          <t>Coordinador de Recibo</t>
        </is>
      </c>
      <c r="Q20" s="19" t="n"/>
      <c r="R20" s="16" t="n"/>
      <c r="S20" s="16" t="n"/>
      <c r="T20" s="20" t="n"/>
    </row>
    <row r="21" ht="42" customHeight="1">
      <c r="A21" s="17" t="inlineStr">
        <is>
          <t>B-11</t>
        </is>
      </c>
      <c r="B21" s="21" t="inlineStr">
        <is>
          <t>B. Estantería y sistemas de almacenamiento</t>
        </is>
      </c>
      <c r="C21" s="8" t="inlineStr">
        <is>
          <t>Malla / red antiderrumbe</t>
        </is>
      </c>
      <c r="D21" s="8" t="inlineStr">
        <is>
          <t>Caída de producto desde niveles superiores hacia pasillos con tránsito peatonal</t>
        </is>
      </c>
      <c r="E21" s="8" t="inlineStr">
        <is>
          <t>Ausencia de malla trasera o lateral; producto suelto; pallets desbordados</t>
        </is>
      </c>
      <c r="F21" s="8" t="inlineStr">
        <is>
          <t>Golpe por objeto que cae con lesión grave o fatal</t>
        </is>
      </c>
      <c r="G21" s="8" t="inlineStr">
        <is>
          <t>Verificar malla o barrera en racks contiguos a pasillos peatonales, zonas de picking y puestos de trabajo</t>
        </is>
      </c>
      <c r="H21" s="8" t="inlineStr">
        <is>
          <t>Plano de zonas protegidas; checklist</t>
        </is>
      </c>
      <c r="I21" s="19" t="n">
        <v>3</v>
      </c>
      <c r="J21" s="19" t="n">
        <v>5</v>
      </c>
      <c r="K21" s="17">
        <f>IF(OR($I21="",$J21=""),"",$I21*$J21)</f>
        <v>15</v>
      </c>
      <c r="L21" s="17" t="str">
        <f>IF($K21="","",IF($K21&gt;=20,"Extremo",IF($K21&gt;=12,"Alto",IF($K21&gt;=6,"Medio",IF($K21&gt;=3,"Bajo","Muy bajo")))))</f>
        <v>Alto</v>
      </c>
      <c r="M21" s="8" t="str">
        <f>IFERROR(VLOOKUP($L21,'3. Escalas y Criterios'!$A$30:$C$34,3,FALSE),"")</f>
        <v>Semanal (verificación) + inspección formal mensual documentada</v>
      </c>
      <c r="N21" s="8" t="inlineStr">
        <is>
          <t>Trimestral</t>
        </is>
      </c>
      <c r="O21" s="8" t="inlineStr">
        <is>
          <t>EN 15635 / buena práctica</t>
        </is>
      </c>
      <c r="P21" s="8" t="inlineStr">
        <is>
          <t>HSE / Mantenimiento</t>
        </is>
      </c>
      <c r="Q21" s="19" t="n"/>
      <c r="R21" s="16" t="n"/>
      <c r="S21" s="16" t="n"/>
      <c r="T21" s="20" t="n"/>
    </row>
    <row r="22" ht="42" customHeight="1">
      <c r="A22" s="17" t="inlineStr">
        <is>
          <t>B-12</t>
        </is>
      </c>
      <c r="B22" s="21" t="inlineStr">
        <is>
          <t>B. Estantería y sistemas de almacenamiento</t>
        </is>
      </c>
      <c r="C22" s="8" t="inlineStr">
        <is>
          <t>Deflexión de vigas</t>
        </is>
      </c>
      <c r="D22" s="8" t="inlineStr">
        <is>
          <t>Deformación permanente de vigas por carga sostenida</t>
        </is>
      </c>
      <c r="E22" s="8" t="inlineStr">
        <is>
          <t>Sobrecarga crónica; vigas de menor sección que la requerida; distribución irregular de la carga</t>
        </is>
      </c>
      <c r="F22" s="8" t="inlineStr">
        <is>
          <t>Falla progresiva de la viga y caída de la carga</t>
        </is>
      </c>
      <c r="G22" s="8" t="inlineStr">
        <is>
          <t>Medir flecha bajo carga (límite típico L/200) y verificar recuperación al descargar</t>
        </is>
      </c>
      <c r="H22" s="8" t="inlineStr">
        <is>
          <t>Registro de medición de deflexión</t>
        </is>
      </c>
      <c r="I22" s="19" t="n">
        <v>2</v>
      </c>
      <c r="J22" s="19" t="n">
        <v>5</v>
      </c>
      <c r="K22" s="17">
        <f>IF(OR($I22="",$J22=""),"",$I22*$J22)</f>
        <v>10</v>
      </c>
      <c r="L22" s="17" t="str">
        <f>IF($K22="","",IF($K22&gt;=20,"Extremo",IF($K22&gt;=12,"Alto",IF($K22&gt;=6,"Medio",IF($K22&gt;=3,"Bajo","Muy bajo")))))</f>
        <v>Medio</v>
      </c>
      <c r="M22" s="8" t="str">
        <f>IFERROR(VLOOKUP($L22,'3. Escalas y Criterios'!$A$30:$C$34,3,FALSE),"")</f>
        <v>Mensual para elementos operativos; trimestral para elementos estructurales o de instalación</v>
      </c>
      <c r="N22" s="8" t="inlineStr">
        <is>
          <t>Anual (dentro de la inspección experta)</t>
        </is>
      </c>
      <c r="O22" s="8" t="inlineStr">
        <is>
          <t>EN 15512</t>
        </is>
      </c>
      <c r="P22" s="8" t="inlineStr">
        <is>
          <t>Inspector experto externo</t>
        </is>
      </c>
      <c r="Q22" s="19" t="n"/>
      <c r="R22" s="16" t="n"/>
      <c r="S22" s="16" t="n"/>
      <c r="T22" s="20" t="n"/>
    </row>
    <row r="23" ht="48" customHeight="1">
      <c r="A23" s="17" t="inlineStr">
        <is>
          <t>C-01</t>
        </is>
      </c>
      <c r="B23" s="22" t="inlineStr">
        <is>
          <t>C. Volumen de inventario y ocupación</t>
        </is>
      </c>
      <c r="C23" s="8" t="inlineStr">
        <is>
          <t>Nivel de ocupación</t>
        </is>
      </c>
      <c r="D23" s="8" t="inlineStr">
        <is>
          <t>Ocupación sostenida por encima del 85-90% de las posiciones</t>
        </is>
      </c>
      <c r="E23" s="8" t="inlineStr">
        <is>
          <t>Sobre-stock; picos estacionales; producto obsoleto sin depurar; falta de capacidad de red</t>
        </is>
      </c>
      <c r="F23" s="8" t="inlineStr">
        <is>
          <t>Almacenamiento en zonas no diseñadas, bloqueo de pasillos y salidas, aumento de accidentes y de tiempos de operación</t>
        </is>
      </c>
      <c r="G23" s="8" t="inlineStr">
        <is>
          <t>Medir % de ocupación por zona vs. capacidad instalada y verificar existencia de plan de desahogo por encima del umbral</t>
        </is>
      </c>
      <c r="H23" s="8" t="inlineStr">
        <is>
          <t>Reporte del WMS de ocupación diaria; plan de contingencia de capacidad</t>
        </is>
      </c>
      <c r="I23" s="19" t="n">
        <v>4</v>
      </c>
      <c r="J23" s="19" t="n">
        <v>4</v>
      </c>
      <c r="K23" s="17">
        <f>IF(OR($I23="",$J23=""),"",$I23*$J23)</f>
        <v>16</v>
      </c>
      <c r="L23" s="17" t="str">
        <f>IF($K23="","",IF($K23&gt;=20,"Extremo",IF($K23&gt;=12,"Alto",IF($K23&gt;=6,"Medio",IF($K23&gt;=3,"Bajo","Muy bajo")))))</f>
        <v>Alto</v>
      </c>
      <c r="M23" s="8" t="str">
        <f>IFERROR(VLOOKUP($L23,'3. Escalas y Criterios'!$A$30:$C$34,3,FALSE),"")</f>
        <v>Semanal (verificación) + inspección formal mensual documentada</v>
      </c>
      <c r="N23" s="8" t="inlineStr">
        <is>
          <t>Monitoreo diario (KPI) + revisión formal semanal</t>
        </is>
      </c>
      <c r="O23" s="8" t="inlineStr">
        <is>
          <t>Buena práctica / política interna</t>
        </is>
      </c>
      <c r="P23" s="8" t="inlineStr">
        <is>
          <t>Jefe de CEDI</t>
        </is>
      </c>
      <c r="Q23" s="19" t="n"/>
      <c r="R23" s="16" t="n"/>
      <c r="S23" s="16" t="n"/>
      <c r="T23" s="20" t="n"/>
    </row>
    <row r="24" ht="48" customHeight="1">
      <c r="A24" s="17" t="inlineStr">
        <is>
          <t>C-02</t>
        </is>
      </c>
      <c r="B24" s="22" t="inlineStr">
        <is>
          <t>C. Volumen de inventario y ocupación</t>
        </is>
      </c>
      <c r="C24" s="8" t="inlineStr">
        <is>
          <t>Carga de fuego y clasificación de mercancía</t>
        </is>
      </c>
      <c r="D24" s="8" t="inlineStr">
        <is>
          <t>Carga combustible superior a la contemplada en el diseño de protección contra incendio</t>
        </is>
      </c>
      <c r="E24" s="8" t="inlineStr">
        <is>
          <t>Cambio de portafolio hacia plásticos, aerosoles, espumas o empaques con mayor poder calorífico; aumento de altura de almacenamiento</t>
        </is>
      </c>
      <c r="F24" s="8" t="inlineStr">
        <is>
          <t>Incendio de crecimiento rápido que supera la capacidad de los rociadores; pérdida total</t>
        </is>
      </c>
      <c r="G24" s="8" t="inlineStr">
        <is>
          <t>Comparar la clasificación actual de la mercancía (Clase I-IV, plásticos grupo A/B/C) y la altura contra el diseño hidráulico vigente</t>
        </is>
      </c>
      <c r="H24" s="8" t="inlineStr">
        <is>
          <t>Estudio de clasificación de mercancía; memoria hidráulica del sistema</t>
        </is>
      </c>
      <c r="I24" s="19" t="n">
        <v>3</v>
      </c>
      <c r="J24" s="19" t="n">
        <v>5</v>
      </c>
      <c r="K24" s="17">
        <f>IF(OR($I24="",$J24=""),"",$I24*$J24)</f>
        <v>15</v>
      </c>
      <c r="L24" s="17" t="str">
        <f>IF($K24="","",IF($K24&gt;=20,"Extremo",IF($K24&gt;=12,"Alto",IF($K24&gt;=6,"Medio",IF($K24&gt;=3,"Bajo","Muy bajo")))))</f>
        <v>Alto</v>
      </c>
      <c r="M24" s="8" t="str">
        <f>IFERROR(VLOOKUP($L24,'3. Escalas y Criterios'!$A$30:$C$34,3,FALSE),"")</f>
        <v>Semanal (verificación) + inspección formal mensual documentada</v>
      </c>
      <c r="N24" s="8" t="inlineStr">
        <is>
          <t>Semestral y obligatorio ante cambio de portafolio o de altura de almacenamiento</t>
        </is>
      </c>
      <c r="O24" s="8" t="inlineStr">
        <is>
          <t>NFPA 13 / NFPA 230</t>
        </is>
      </c>
      <c r="P24" s="8" t="inlineStr">
        <is>
          <t>HSE / Gerencia</t>
        </is>
      </c>
      <c r="Q24" s="19" t="n"/>
      <c r="R24" s="16" t="n"/>
      <c r="S24" s="16" t="n"/>
      <c r="T24" s="20" t="n"/>
    </row>
    <row r="25" ht="42" customHeight="1">
      <c r="A25" s="17" t="inlineStr">
        <is>
          <t>C-03</t>
        </is>
      </c>
      <c r="B25" s="22" t="inlineStr">
        <is>
          <t>C. Volumen de inventario y ocupación</t>
        </is>
      </c>
      <c r="C25" s="8" t="inlineStr">
        <is>
          <t>Pasillos, salidas y equipos de emergencia</t>
        </is>
      </c>
      <c r="D25" s="8" t="inlineStr">
        <is>
          <t>Obstrucción de pasillos, salidas de evacuación, hidrantes, extintores y tableros</t>
        </is>
      </c>
      <c r="E25" s="8" t="inlineStr">
        <is>
          <t>Producto en piso por falta de espacio; recibos sin ubicar; disciplina operativa deficiente</t>
        </is>
      </c>
      <c r="F25" s="8" t="inlineStr">
        <is>
          <t>Evacuación fallida en emergencia; imposibilidad de atacar un conato; sanción legal</t>
        </is>
      </c>
      <c r="G25" s="8" t="inlineStr">
        <is>
          <t>Recorrido de verificación de demarcación amarilla libre, 1 m frente a equipos de emergencia y ancho mínimo de pasillo</t>
        </is>
      </c>
      <c r="H25" s="8" t="inlineStr">
        <is>
          <t>Ronda diaria de orden y aseo (5S); registro fotográfico de desviaciones</t>
        </is>
      </c>
      <c r="I25" s="19" t="n">
        <v>4</v>
      </c>
      <c r="J25" s="19" t="n">
        <v>5</v>
      </c>
      <c r="K25" s="17">
        <f>IF(OR($I25="",$J25=""),"",$I25*$J25)</f>
        <v>20</v>
      </c>
      <c r="L25" s="17" t="str">
        <f>IF($K25="","",IF($K25&gt;=20,"Extremo",IF($K25&gt;=12,"Alto",IF($K25&gt;=6,"Medio",IF($K25&gt;=3,"Bajo","Muy bajo")))))</f>
        <v>Extremo</v>
      </c>
      <c r="M25" s="8" t="str">
        <f>IFERROR(VLOOKUP($L25,'3. Escalas y Criterios'!$A$30:$C$34,3,FALSE),"")</f>
        <v>Diaria o por turno (verificación operativa) + inspección formal semanal documentada</v>
      </c>
      <c r="N25" s="8" t="inlineStr">
        <is>
          <t>Diaria</t>
        </is>
      </c>
      <c r="O25" s="8" t="inlineStr">
        <is>
          <t>NTC 1700 / NFPA 101 / OSHA 1910.37</t>
        </is>
      </c>
      <c r="P25" s="8" t="inlineStr">
        <is>
          <t>Supervisor de turno / HSE</t>
        </is>
      </c>
      <c r="Q25" s="19" t="n"/>
      <c r="R25" s="16" t="n"/>
      <c r="S25" s="16" t="n"/>
      <c r="T25" s="20" t="n"/>
    </row>
    <row r="26" ht="42" customHeight="1">
      <c r="A26" s="17" t="inlineStr">
        <is>
          <t>C-04</t>
        </is>
      </c>
      <c r="B26" s="22" t="inlineStr">
        <is>
          <t>C. Volumen de inventario y ocupación</t>
        </is>
      </c>
      <c r="C26" s="8" t="inlineStr">
        <is>
          <t>Concentración de valor</t>
        </is>
      </c>
      <c r="D26" s="8" t="inlineStr">
        <is>
          <t>Acumulación de valor asegurado por encima del límite de la póliza en un solo sitio</t>
        </is>
      </c>
      <c r="E26" s="8" t="inlineStr">
        <is>
          <t>Compras anticipadas; alta estacionalidad; producto de alto valor concentrado en una zona</t>
        </is>
      </c>
      <c r="F26" s="8" t="inlineStr">
        <is>
          <t>Pérdida no indemnizada (infraseguro) ante siniestro mayor</t>
        </is>
      </c>
      <c r="G26" s="8" t="inlineStr">
        <is>
          <t>Comparar el valor del inventario pico contra el valor asegurado declarado y las cláusulas de la póliza</t>
        </is>
      </c>
      <c r="H26" s="8" t="inlineStr">
        <is>
          <t>Reporte de valorización mensual; carátula de la póliza vigente</t>
        </is>
      </c>
      <c r="I26" s="19" t="n">
        <v>2</v>
      </c>
      <c r="J26" s="19" t="n">
        <v>5</v>
      </c>
      <c r="K26" s="17">
        <f>IF(OR($I26="",$J26=""),"",$I26*$J26)</f>
        <v>10</v>
      </c>
      <c r="L26" s="17" t="str">
        <f>IF($K26="","",IF($K26&gt;=20,"Extremo",IF($K26&gt;=12,"Alto",IF($K26&gt;=6,"Medio",IF($K26&gt;=3,"Bajo","Muy bajo")))))</f>
        <v>Medio</v>
      </c>
      <c r="M26" s="8" t="str">
        <f>IFERROR(VLOOKUP($L26,'3. Escalas y Criterios'!$A$30:$C$34,3,FALSE),"")</f>
        <v>Mensual para elementos operativos; trimestral para elementos estructurales o de instalación</v>
      </c>
      <c r="N26" s="8" t="inlineStr">
        <is>
          <t>Mensual (y notificación a la aseguradora antes de cada pico)</t>
        </is>
      </c>
      <c r="O26" s="8" t="inlineStr">
        <is>
          <t>Condiciones de la póliza</t>
        </is>
      </c>
      <c r="P26" s="8" t="inlineStr">
        <is>
          <t>Finanzas / Gerencia</t>
        </is>
      </c>
      <c r="Q26" s="19" t="n"/>
      <c r="R26" s="16" t="n"/>
      <c r="S26" s="16" t="n"/>
      <c r="T26" s="20" t="n"/>
    </row>
    <row r="27" ht="42" customHeight="1">
      <c r="A27" s="17" t="inlineStr">
        <is>
          <t>C-05</t>
        </is>
      </c>
      <c r="B27" s="22" t="inlineStr">
        <is>
          <t>C. Volumen de inventario y ocupación</t>
        </is>
      </c>
      <c r="C27" s="8" t="inlineStr">
        <is>
          <t>Producto pesado en altura</t>
        </is>
      </c>
      <c r="D27" s="8" t="inlineStr">
        <is>
          <t>Ubicación de referencias pesadas en niveles superiores</t>
        </is>
      </c>
      <c r="E27" s="8" t="inlineStr">
        <is>
          <t>Slotting sin criterio de peso; falta de reglas en el WMS</t>
        </is>
      </c>
      <c r="F27" s="8" t="inlineStr">
        <is>
          <t>Sobrecarga de vigas, elevación de centro de gravedad del MHE, caída de carga</t>
        </is>
      </c>
      <c r="G27" s="8" t="inlineStr">
        <is>
          <t>Auditar reglas de slotting por peso y verificar cumplimiento en piso</t>
        </is>
      </c>
      <c r="H27" s="8" t="inlineStr">
        <is>
          <t>Reglas de slotting del WMS; auditoría de ubicaciones</t>
        </is>
      </c>
      <c r="I27" s="19" t="n">
        <v>3</v>
      </c>
      <c r="J27" s="19" t="n">
        <v>4</v>
      </c>
      <c r="K27" s="17">
        <f>IF(OR($I27="",$J27=""),"",$I27*$J27)</f>
        <v>12</v>
      </c>
      <c r="L27" s="17" t="str">
        <f>IF($K27="","",IF($K27&gt;=20,"Extremo",IF($K27&gt;=12,"Alto",IF($K27&gt;=6,"Medio",IF($K27&gt;=3,"Bajo","Muy bajo")))))</f>
        <v>Alto</v>
      </c>
      <c r="M27" s="8" t="str">
        <f>IFERROR(VLOOKUP($L27,'3. Escalas y Criterios'!$A$30:$C$34,3,FALSE),"")</f>
        <v>Semanal (verificación) + inspección formal mensual documentada</v>
      </c>
      <c r="N27" s="8" t="inlineStr">
        <is>
          <t>Mensual</t>
        </is>
      </c>
      <c r="O27" s="8" t="inlineStr">
        <is>
          <t>Buena práctica</t>
        </is>
      </c>
      <c r="P27" s="8" t="inlineStr">
        <is>
          <t>Planeación / Jefe de CEDI</t>
        </is>
      </c>
      <c r="Q27" s="19" t="n"/>
      <c r="R27" s="16" t="n"/>
      <c r="S27" s="16" t="n"/>
      <c r="T27" s="20" t="n"/>
    </row>
    <row r="28" ht="42" customHeight="1">
      <c r="A28" s="17" t="inlineStr">
        <is>
          <t>C-06</t>
        </is>
      </c>
      <c r="B28" s="22" t="inlineStr">
        <is>
          <t>C. Volumen de inventario y ocupación</t>
        </is>
      </c>
      <c r="C28" s="8" t="inlineStr">
        <is>
          <t>Picos estacionales</t>
        </is>
      </c>
      <c r="D28" s="8" t="inlineStr">
        <is>
          <t>Aumento de volumen sin ajuste de capacidad, personal ni controles</t>
        </is>
      </c>
      <c r="E28" s="8" t="inlineStr">
        <is>
          <t>Temporada alta, promociones, eventos comerciales; contratación masiva temporal</t>
        </is>
      </c>
      <c r="F28" s="8" t="inlineStr">
        <is>
          <t>Accidentalidad elevada, errores, incumplimiento de despachos, desorden y bloqueos</t>
        </is>
      </c>
      <c r="G28" s="8" t="inlineStr">
        <is>
          <t>Verificar plan de temporada: capacidad, personal, inducción, turnos, almacenamiento externo y refuerzo de supervisión</t>
        </is>
      </c>
      <c r="H28" s="8" t="inlineStr">
        <is>
          <t>Plan de temporada alta aprobado; matriz de capacidad</t>
        </is>
      </c>
      <c r="I28" s="19" t="n">
        <v>4</v>
      </c>
      <c r="J28" s="19" t="n">
        <v>3</v>
      </c>
      <c r="K28" s="17">
        <f>IF(OR($I28="",$J28=""),"",$I28*$J28)</f>
        <v>12</v>
      </c>
      <c r="L28" s="17" t="str">
        <f>IF($K28="","",IF($K28&gt;=20,"Extremo",IF($K28&gt;=12,"Alto",IF($K28&gt;=6,"Medio",IF($K28&gt;=3,"Bajo","Muy bajo")))))</f>
        <v>Alto</v>
      </c>
      <c r="M28" s="8" t="str">
        <f>IFERROR(VLOOKUP($L28,'3. Escalas y Criterios'!$A$30:$C$34,3,FALSE),"")</f>
        <v>Semanal (verificación) + inspección formal mensual documentada</v>
      </c>
      <c r="N28" s="8" t="inlineStr">
        <is>
          <t>Antes de cada temporada + seguimiento semanal durante el pico</t>
        </is>
      </c>
      <c r="O28" s="8" t="inlineStr">
        <is>
          <t>Buena práctica</t>
        </is>
      </c>
      <c r="P28" s="8" t="inlineStr">
        <is>
          <t>Jefe de CEDI / Planeación</t>
        </is>
      </c>
      <c r="Q28" s="19" t="n"/>
      <c r="R28" s="16" t="n"/>
      <c r="S28" s="16" t="n"/>
      <c r="T28" s="20" t="n"/>
    </row>
    <row r="29" ht="42" customHeight="1">
      <c r="A29" s="17" t="inlineStr">
        <is>
          <t>D-01</t>
        </is>
      </c>
      <c r="B29" s="16" t="inlineStr">
        <is>
          <t>D. Muelles y patio de maniobras</t>
        </is>
      </c>
      <c r="C29" s="8" t="inlineStr">
        <is>
          <t>Sujeción del vehículo en muelle</t>
        </is>
      </c>
      <c r="D29" s="8" t="inlineStr">
        <is>
          <t>Desplazamiento o salida anticipada del vehículo durante el cargue (trailer creep / early departure)</t>
        </is>
      </c>
      <c r="E29" s="8" t="inlineStr">
        <is>
          <t>Ausencia de calzos o dock lock; falta de sistema de llaves cautivas; comunicación deficiente con el conductor</t>
        </is>
      </c>
      <c r="F29" s="8" t="inlineStr">
        <is>
          <t>Caída del montacargas al vacío entre muelle y camión: lesión grave o fatal, pérdida del equipo</t>
        </is>
      </c>
      <c r="G29" s="8" t="inlineStr">
        <is>
          <t>Verificar uso obligatorio de calzo o dock lock, semáforo interior/exterior y control de llaves del vehículo</t>
        </is>
      </c>
      <c r="H29" s="8" t="inlineStr">
        <is>
          <t>Procedimiento de aseguramiento de muelle; registro de entrega de llaves</t>
        </is>
      </c>
      <c r="I29" s="19" t="n">
        <v>3</v>
      </c>
      <c r="J29" s="19" t="n">
        <v>5</v>
      </c>
      <c r="K29" s="17">
        <f>IF(OR($I29="",$J29=""),"",$I29*$J29)</f>
        <v>15</v>
      </c>
      <c r="L29" s="17" t="str">
        <f>IF($K29="","",IF($K29&gt;=20,"Extremo",IF($K29&gt;=12,"Alto",IF($K29&gt;=6,"Medio",IF($K29&gt;=3,"Bajo","Muy bajo")))))</f>
        <v>Alto</v>
      </c>
      <c r="M29" s="8" t="str">
        <f>IFERROR(VLOOKUP($L29,'3. Escalas y Criterios'!$A$30:$C$34,3,FALSE),"")</f>
        <v>Semanal (verificación) + inspección formal mensual documentada</v>
      </c>
      <c r="N29" s="8" t="inlineStr">
        <is>
          <t>En cada operación + verificación diaria por supervisor</t>
        </is>
      </c>
      <c r="O29" s="8" t="inlineStr">
        <is>
          <t>OSHA 1910.178(k)/(m); buena práctica</t>
        </is>
      </c>
      <c r="P29" s="8" t="inlineStr">
        <is>
          <t>Supervisor de muelles</t>
        </is>
      </c>
      <c r="Q29" s="19" t="n"/>
      <c r="R29" s="16" t="n"/>
      <c r="S29" s="16" t="n"/>
      <c r="T29" s="20" t="n"/>
    </row>
    <row r="30" ht="42" customHeight="1">
      <c r="A30" s="17" t="inlineStr">
        <is>
          <t>D-02</t>
        </is>
      </c>
      <c r="B30" s="16" t="inlineStr">
        <is>
          <t>D. Muelles y patio de maniobras</t>
        </is>
      </c>
      <c r="C30" s="8" t="inlineStr">
        <is>
          <t>Borde de muelle</t>
        </is>
      </c>
      <c r="D30" s="8" t="inlineStr">
        <is>
          <t>Caída de personas o equipos desde el borde del muelle</t>
        </is>
      </c>
      <c r="E30" s="8" t="inlineStr">
        <is>
          <t>Puertas abiertas sin vehículo acoplado; ausencia de barrera, cadena o baranda; iluminación deficiente</t>
        </is>
      </c>
      <c r="F30" s="8" t="inlineStr">
        <is>
          <t>Caída de 1.2-1.4 m con lesión grave o fatal</t>
        </is>
      </c>
      <c r="G30" s="8" t="inlineStr">
        <is>
          <t>Verificar barreras físicas, señalización y bloqueo de puertas sin vehículo</t>
        </is>
      </c>
      <c r="H30" s="8" t="inlineStr">
        <is>
          <t>Checklist diario de muelles; registro fotográfico</t>
        </is>
      </c>
      <c r="I30" s="19" t="n">
        <v>3</v>
      </c>
      <c r="J30" s="19" t="n">
        <v>5</v>
      </c>
      <c r="K30" s="17">
        <f>IF(OR($I30="",$J30=""),"",$I30*$J30)</f>
        <v>15</v>
      </c>
      <c r="L30" s="17" t="str">
        <f>IF($K30="","",IF($K30&gt;=20,"Extremo",IF($K30&gt;=12,"Alto",IF($K30&gt;=6,"Medio",IF($K30&gt;=3,"Bajo","Muy bajo")))))</f>
        <v>Alto</v>
      </c>
      <c r="M30" s="8" t="str">
        <f>IFERROR(VLOOKUP($L30,'3. Escalas y Criterios'!$A$30:$C$34,3,FALSE),"")</f>
        <v>Semanal (verificación) + inspección formal mensual documentada</v>
      </c>
      <c r="N30" s="8" t="inlineStr">
        <is>
          <t>Diaria</t>
        </is>
      </c>
      <c r="O30" s="8" t="inlineStr">
        <is>
          <t>Resolución 1409 de 2012 / OSHA 1910.28</t>
        </is>
      </c>
      <c r="P30" s="8" t="inlineStr">
        <is>
          <t>Supervisor de muelles / HSE</t>
        </is>
      </c>
      <c r="Q30" s="19" t="n"/>
      <c r="R30" s="16" t="n"/>
      <c r="S30" s="16" t="n"/>
      <c r="T30" s="20" t="n"/>
    </row>
    <row r="31" ht="42" customHeight="1">
      <c r="A31" s="17" t="inlineStr">
        <is>
          <t>D-03</t>
        </is>
      </c>
      <c r="B31" s="16" t="inlineStr">
        <is>
          <t>D. Muelles y patio de maniobras</t>
        </is>
      </c>
      <c r="C31" s="8" t="inlineStr">
        <is>
          <t>Niveladores, rampas y puertas</t>
        </is>
      </c>
      <c r="D31" s="8" t="inlineStr">
        <is>
          <t>Falla mecánica o hidráulica del nivelador, rampa movil o puerta seccional</t>
        </is>
      </c>
      <c r="E31" s="8" t="inlineStr">
        <is>
          <t>Mantenimiento preventivo no ejecutado; sobrecarga; impacto de montacargas; labios deformados</t>
        </is>
      </c>
      <c r="F31" s="8" t="inlineStr">
        <is>
          <t>Caída del equipo, atrapamiento, paro del muelle</t>
        </is>
      </c>
      <c r="G31" s="8" t="inlineStr">
        <is>
          <t>Verificar operación, capacidad nominal, labio, topes, mantenimiento y ausencia de fugas hidráulicas</t>
        </is>
      </c>
      <c r="H31" s="8" t="inlineStr">
        <is>
          <t>Plan de mantenimiento preventivo; hoja de vida del equipo</t>
        </is>
      </c>
      <c r="I31" s="19" t="n">
        <v>3</v>
      </c>
      <c r="J31" s="19" t="n">
        <v>4</v>
      </c>
      <c r="K31" s="17">
        <f>IF(OR($I31="",$J31=""),"",$I31*$J31)</f>
        <v>12</v>
      </c>
      <c r="L31" s="17" t="str">
        <f>IF($K31="","",IF($K31&gt;=20,"Extremo",IF($K31&gt;=12,"Alto",IF($K31&gt;=6,"Medio",IF($K31&gt;=3,"Bajo","Muy bajo")))))</f>
        <v>Alto</v>
      </c>
      <c r="M31" s="8" t="str">
        <f>IFERROR(VLOOKUP($L31,'3. Escalas y Criterios'!$A$30:$C$34,3,FALSE),"")</f>
        <v>Semanal (verificación) + inspección formal mensual documentada</v>
      </c>
      <c r="N31" s="8" t="inlineStr">
        <is>
          <t>Inspección visual mensual; mantenimiento preventivo semestral</t>
        </is>
      </c>
      <c r="O31" s="8" t="inlineStr">
        <is>
          <t>Manual del fabricante / ANSI MH30.1</t>
        </is>
      </c>
      <c r="P31" s="8" t="inlineStr">
        <is>
          <t>Mantenimiento</t>
        </is>
      </c>
      <c r="Q31" s="19" t="n"/>
      <c r="R31" s="16" t="n"/>
      <c r="S31" s="16" t="n"/>
      <c r="T31" s="20" t="n"/>
    </row>
    <row r="32" ht="42" customHeight="1">
      <c r="A32" s="17" t="inlineStr">
        <is>
          <t>D-04</t>
        </is>
      </c>
      <c r="B32" s="16" t="inlineStr">
        <is>
          <t>D. Muelles y patio de maniobras</t>
        </is>
      </c>
      <c r="C32" s="8" t="inlineStr">
        <is>
          <t>Abrigos y sellos de muelle</t>
        </is>
      </c>
      <c r="D32" s="8" t="inlineStr">
        <is>
          <t>Pérdida de hermeticidad del muelle</t>
        </is>
      </c>
      <c r="E32" s="8" t="inlineStr">
        <is>
          <t>Lona rota; espuma comprimida; impacto de vehículos</t>
        </is>
      </c>
      <c r="F32" s="8" t="inlineStr">
        <is>
          <t>Ingreso de agua y plagas, ruptura de cadena de frío, mayor consumo energético</t>
        </is>
      </c>
      <c r="G32" s="8" t="inlineStr">
        <is>
          <t>Inspección de lonas, espumas, marcos y alineación</t>
        </is>
      </c>
      <c r="H32" s="8" t="inlineStr">
        <is>
          <t>Checklist trimestral de muelles</t>
        </is>
      </c>
      <c r="I32" s="19" t="n">
        <v>3</v>
      </c>
      <c r="J32" s="19" t="n">
        <v>3</v>
      </c>
      <c r="K32" s="17">
        <f>IF(OR($I32="",$J32=""),"",$I32*$J32)</f>
        <v>9</v>
      </c>
      <c r="L32" s="17" t="str">
        <f>IF($K32="","",IF($K32&gt;=20,"Extremo",IF($K32&gt;=12,"Alto",IF($K32&gt;=6,"Medio",IF($K32&gt;=3,"Bajo","Muy bajo")))))</f>
        <v>Medio</v>
      </c>
      <c r="M32" s="8" t="str">
        <f>IFERROR(VLOOKUP($L32,'3. Escalas y Criterios'!$A$30:$C$34,3,FALSE),"")</f>
        <v>Mensual para elementos operativos; trimestral para elementos estructurales o de instalación</v>
      </c>
      <c r="N32" s="8" t="inlineStr">
        <is>
          <t>Trimestral</t>
        </is>
      </c>
      <c r="O32" s="8" t="inlineStr">
        <is>
          <t>Buena práctica / BPM</t>
        </is>
      </c>
      <c r="P32" s="8" t="inlineStr">
        <is>
          <t>Mantenimiento</t>
        </is>
      </c>
      <c r="Q32" s="19" t="n"/>
      <c r="R32" s="16" t="n"/>
      <c r="S32" s="16" t="n"/>
      <c r="T32" s="20" t="n"/>
    </row>
    <row r="33" ht="48" customHeight="1">
      <c r="A33" s="17" t="inlineStr">
        <is>
          <t>D-05</t>
        </is>
      </c>
      <c r="B33" s="16" t="inlineStr">
        <is>
          <t>D. Muelles y patio de maniobras</t>
        </is>
      </c>
      <c r="C33" s="8" t="inlineStr">
        <is>
          <t>Tráfico en patio y segregación peatonal</t>
        </is>
      </c>
      <c r="D33" s="8" t="inlineStr">
        <is>
          <t>Atropellamiento de peatón por vehículo de carga en patio</t>
        </is>
      </c>
      <c r="E33" s="8" t="inlineStr">
        <is>
          <t>Ausencia de senderos peatonales, espejos y señalización; maniobra de reversa sin guía; conductores ajenos circulando a pie</t>
        </is>
      </c>
      <c r="F33" s="8" t="inlineStr">
        <is>
          <t>Fatalidad, sanción legal, paro de operación</t>
        </is>
      </c>
      <c r="G33" s="8" t="inlineStr">
        <is>
          <t>Verificar senderos demarcados, cruces señalizados, sala de espera de conductores, chaleco reflectivo y prohibición de circular por zona de maniobra</t>
        </is>
      </c>
      <c r="H33" s="8" t="inlineStr">
        <is>
          <t>Plan de tráfico del patio; registro de inducción a conductores</t>
        </is>
      </c>
      <c r="I33" s="19" t="n">
        <v>4</v>
      </c>
      <c r="J33" s="19" t="n">
        <v>4</v>
      </c>
      <c r="K33" s="17">
        <f>IF(OR($I33="",$J33=""),"",$I33*$J33)</f>
        <v>16</v>
      </c>
      <c r="L33" s="17" t="str">
        <f>IF($K33="","",IF($K33&gt;=20,"Extremo",IF($K33&gt;=12,"Alto",IF($K33&gt;=6,"Medio",IF($K33&gt;=3,"Bajo","Muy bajo")))))</f>
        <v>Alto</v>
      </c>
      <c r="M33" s="8" t="str">
        <f>IFERROR(VLOOKUP($L33,'3. Escalas y Criterios'!$A$30:$C$34,3,FALSE),"")</f>
        <v>Semanal (verificación) + inspección formal mensual documentada</v>
      </c>
      <c r="N33" s="8" t="inlineStr">
        <is>
          <t>Verificación diaria; auditoría formal mensual</t>
        </is>
      </c>
      <c r="O33" s="8" t="inlineStr">
        <is>
          <t>Buena práctica / SG-SST</t>
        </is>
      </c>
      <c r="P33" s="8" t="inlineStr">
        <is>
          <t>HSE / Seguridad Física</t>
        </is>
      </c>
      <c r="Q33" s="19" t="n"/>
      <c r="R33" s="16" t="n"/>
      <c r="S33" s="16" t="n"/>
      <c r="T33" s="20" t="n"/>
    </row>
    <row r="34" ht="42" customHeight="1">
      <c r="A34" s="17" t="inlineStr">
        <is>
          <t>D-06</t>
        </is>
      </c>
      <c r="B34" s="16" t="inlineStr">
        <is>
          <t>D. Muelles y patio de maniobras</t>
        </is>
      </c>
      <c r="C34" s="8" t="inlineStr">
        <is>
          <t>Programación de citas y congestión</t>
        </is>
      </c>
      <c r="D34" s="8" t="inlineStr">
        <is>
          <t>Congestión de muelles y filas de vehículos en vía pública</t>
        </is>
      </c>
      <c r="E34" s="8" t="inlineStr">
        <is>
          <t>Ausencia o incumplimiento de sistema de citas; picos de llegada; baja productividad de descargue</t>
        </is>
      </c>
      <c r="F34" s="8" t="inlineStr">
        <is>
          <t>Demoras y sobrecostos, maniobras riesgosas, conflicto con la comunidad y la autoridad</t>
        </is>
      </c>
      <c r="G34" s="8" t="inlineStr">
        <is>
          <t>Medir cumplimiento de ventanas de cita, tiempo de permanencia del vehículo y ocupación de muelle por hora</t>
        </is>
      </c>
      <c r="H34" s="8" t="inlineStr">
        <is>
          <t>Reporte de citas y de tiempos de permanencia</t>
        </is>
      </c>
      <c r="I34" s="19" t="n">
        <v>4</v>
      </c>
      <c r="J34" s="19" t="n">
        <v>3</v>
      </c>
      <c r="K34" s="17">
        <f>IF(OR($I34="",$J34=""),"",$I34*$J34)</f>
        <v>12</v>
      </c>
      <c r="L34" s="17" t="str">
        <f>IF($K34="","",IF($K34&gt;=20,"Extremo",IF($K34&gt;=12,"Alto",IF($K34&gt;=6,"Medio",IF($K34&gt;=3,"Bajo","Muy bajo")))))</f>
        <v>Alto</v>
      </c>
      <c r="M34" s="8" t="str">
        <f>IFERROR(VLOOKUP($L34,'3. Escalas y Criterios'!$A$30:$C$34,3,FALSE),"")</f>
        <v>Semanal (verificación) + inspección formal mensual documentada</v>
      </c>
      <c r="N34" s="8" t="inlineStr">
        <is>
          <t>Semanal (KPI)</t>
        </is>
      </c>
      <c r="O34" s="8" t="inlineStr">
        <is>
          <t>Buena práctica</t>
        </is>
      </c>
      <c r="P34" s="8" t="inlineStr">
        <is>
          <t>Planeación / Jefe de CEDI</t>
        </is>
      </c>
      <c r="Q34" s="19" t="n"/>
      <c r="R34" s="16" t="n"/>
      <c r="S34" s="16" t="n"/>
      <c r="T34" s="20" t="n"/>
    </row>
    <row r="35" ht="42" customHeight="1">
      <c r="A35" s="17" t="inlineStr">
        <is>
          <t>D-07</t>
        </is>
      </c>
      <c r="B35" s="16" t="inlineStr">
        <is>
          <t>D. Muelles y patio de maniobras</t>
        </is>
      </c>
      <c r="C35" s="8" t="inlineStr">
        <is>
          <t>Estado del patio y drenajes</t>
        </is>
      </c>
      <c r="D35" s="8" t="inlineStr">
        <is>
          <t>Deterioro del pavimento, encharcamiento y pérdida de señalización</t>
        </is>
      </c>
      <c r="E35" s="8" t="inlineStr">
        <is>
          <t>Tráfico pesado; drenajes obstruidos; ausencia de mantenimiento</t>
        </is>
      </c>
      <c r="F35" s="8" t="inlineStr">
        <is>
          <t>Volcamiento de MHE, daño de vehículos, caídas, inundación de muelles</t>
        </is>
      </c>
      <c r="G35" s="8" t="inlineStr">
        <is>
          <t>Inspección de baches, hundimientos, sumideros, demarcación y topes de parqueo</t>
        </is>
      </c>
      <c r="H35" s="8" t="inlineStr">
        <is>
          <t>Informe de inspección de patio; plan de mantenimiento locativo</t>
        </is>
      </c>
      <c r="I35" s="19" t="n">
        <v>3</v>
      </c>
      <c r="J35" s="19" t="n">
        <v>3</v>
      </c>
      <c r="K35" s="17">
        <f>IF(OR($I35="",$J35=""),"",$I35*$J35)</f>
        <v>9</v>
      </c>
      <c r="L35" s="17" t="str">
        <f>IF($K35="","",IF($K35&gt;=20,"Extremo",IF($K35&gt;=12,"Alto",IF($K35&gt;=6,"Medio",IF($K35&gt;=3,"Bajo","Muy bajo")))))</f>
        <v>Medio</v>
      </c>
      <c r="M35" s="8" t="str">
        <f>IFERROR(VLOOKUP($L35,'3. Escalas y Criterios'!$A$30:$C$34,3,FALSE),"")</f>
        <v>Mensual para elementos operativos; trimestral para elementos estructurales o de instalación</v>
      </c>
      <c r="N35" s="8" t="inlineStr">
        <is>
          <t>Semestral</t>
        </is>
      </c>
      <c r="O35" s="8" t="inlineStr">
        <is>
          <t>Buena práctica</t>
        </is>
      </c>
      <c r="P35" s="8" t="inlineStr">
        <is>
          <t>Mantenimiento</t>
        </is>
      </c>
      <c r="Q35" s="19" t="n"/>
      <c r="R35" s="16" t="n"/>
      <c r="S35" s="16" t="n"/>
      <c r="T35" s="20" t="n"/>
    </row>
    <row r="36" ht="42" customHeight="1">
      <c r="A36" s="17" t="inlineStr">
        <is>
          <t>D-08</t>
        </is>
      </c>
      <c r="B36" s="16" t="inlineStr">
        <is>
          <t>D. Muelles y patio de maniobras</t>
        </is>
      </c>
      <c r="C36" s="8" t="inlineStr">
        <is>
          <t>Descargue de contenedor / trailer desacoplado</t>
        </is>
      </c>
      <c r="D36" s="8" t="inlineStr">
        <is>
          <t>Colapso del semirremolque desacoplado durante el descargue</t>
        </is>
      </c>
      <c r="E36" s="8" t="inlineStr">
        <is>
          <t>Ausencia de soporte fijo (jack stand); patas de apoyo dañadas; piso del contenedor deteriorado</t>
        </is>
      </c>
      <c r="F36" s="8" t="inlineStr">
        <is>
          <t>Volcamiento con el montacargas dentro: lesión grave o fatal</t>
        </is>
      </c>
      <c r="G36" s="8" t="inlineStr">
        <is>
          <t>Verificar soporte fijo instalado y estado del piso del contenedor antes de ingresar con el equipo</t>
        </is>
      </c>
      <c r="H36" s="8" t="inlineStr">
        <is>
          <t>Checklist de aseguramiento previo al ingreso</t>
        </is>
      </c>
      <c r="I36" s="19" t="n">
        <v>3</v>
      </c>
      <c r="J36" s="19" t="n">
        <v>5</v>
      </c>
      <c r="K36" s="17">
        <f>IF(OR($I36="",$J36=""),"",$I36*$J36)</f>
        <v>15</v>
      </c>
      <c r="L36" s="17" t="str">
        <f>IF($K36="","",IF($K36&gt;=20,"Extremo",IF($K36&gt;=12,"Alto",IF($K36&gt;=6,"Medio",IF($K36&gt;=3,"Bajo","Muy bajo")))))</f>
        <v>Alto</v>
      </c>
      <c r="M36" s="8" t="str">
        <f>IFERROR(VLOOKUP($L36,'3. Escalas y Criterios'!$A$30:$C$34,3,FALSE),"")</f>
        <v>Semanal (verificación) + inspección formal mensual documentada</v>
      </c>
      <c r="N36" s="8" t="inlineStr">
        <is>
          <t>En cada operación</t>
        </is>
      </c>
      <c r="O36" s="8" t="inlineStr">
        <is>
          <t>OSHA 1910.178(k)(3)</t>
        </is>
      </c>
      <c r="P36" s="8" t="inlineStr">
        <is>
          <t>Supervisor de muelles</t>
        </is>
      </c>
      <c r="Q36" s="19" t="n"/>
      <c r="R36" s="16" t="n"/>
      <c r="S36" s="16" t="n"/>
      <c r="T36" s="20" t="n"/>
    </row>
    <row r="37" ht="42" customHeight="1">
      <c r="A37" s="17" t="inlineStr">
        <is>
          <t>D-09</t>
        </is>
      </c>
      <c r="B37" s="16" t="inlineStr">
        <is>
          <t>D. Muelles y patio de maniobras</t>
        </is>
      </c>
      <c r="C37" s="8" t="inlineStr">
        <is>
          <t>Calidad del aire en muelle</t>
        </is>
      </c>
      <c r="D37" s="8" t="inlineStr">
        <is>
          <t>Acumulación de monóxido de carbono por vehículos o equipos de combustión</t>
        </is>
      </c>
      <c r="E37" s="8" t="inlineStr">
        <is>
          <t>Camiones refrigerados o montacargas de combustión operando en zona cerrada; ventilación insuficiente</t>
        </is>
      </c>
      <c r="F37" s="8" t="inlineStr">
        <is>
          <t>Intoxicación del personal</t>
        </is>
      </c>
      <c r="G37" s="8" t="inlineStr">
        <is>
          <t>Verificar política de apagado de motores, ventilación forzada y medición de CO en muelles cerrados</t>
        </is>
      </c>
      <c r="H37" s="8" t="inlineStr">
        <is>
          <t>Registro de medición de CO; procedimiento de motores apagados</t>
        </is>
      </c>
      <c r="I37" s="19" t="n">
        <v>2</v>
      </c>
      <c r="J37" s="19" t="n">
        <v>4</v>
      </c>
      <c r="K37" s="17">
        <f>IF(OR($I37="",$J37=""),"",$I37*$J37)</f>
        <v>8</v>
      </c>
      <c r="L37" s="17" t="str">
        <f>IF($K37="","",IF($K37&gt;=20,"Extremo",IF($K37&gt;=12,"Alto",IF($K37&gt;=6,"Medio",IF($K37&gt;=3,"Bajo","Muy bajo")))))</f>
        <v>Medio</v>
      </c>
      <c r="M37" s="8" t="str">
        <f>IFERROR(VLOOKUP($L37,'3. Escalas y Criterios'!$A$30:$C$34,3,FALSE),"")</f>
        <v>Mensual para elementos operativos; trimestral para elementos estructurales o de instalación</v>
      </c>
      <c r="N37" s="8" t="inlineStr">
        <is>
          <t>Semestral (medición) + control diario</t>
        </is>
      </c>
      <c r="O37" s="8" t="inlineStr">
        <is>
          <t>Higiene industrial / TLV ACGIH</t>
        </is>
      </c>
      <c r="P37" s="8" t="inlineStr">
        <is>
          <t>HSE</t>
        </is>
      </c>
      <c r="Q37" s="19" t="n"/>
      <c r="R37" s="16" t="n"/>
      <c r="S37" s="16" t="n"/>
      <c r="T37" s="20" t="n"/>
    </row>
    <row r="38" ht="42" customHeight="1">
      <c r="A38" s="17" t="inlineStr">
        <is>
          <t>D-10</t>
        </is>
      </c>
      <c r="B38" s="16" t="inlineStr">
        <is>
          <t>D. Muelles y patio de maniobras</t>
        </is>
      </c>
      <c r="C38" s="8" t="inlineStr">
        <is>
          <t>Iluminación de muelles y patio</t>
        </is>
      </c>
      <c r="D38" s="8" t="inlineStr">
        <is>
          <t>Iluminación insuficiente en operación nocturna</t>
        </is>
      </c>
      <c r="E38" s="8" t="inlineStr">
        <is>
          <t>Luminarias fundidas; diseño deficiente; falta de mantenimiento</t>
        </is>
      </c>
      <c r="F38" s="8" t="inlineStr">
        <is>
          <t>Accidentes de tránsito interno, errores de despacho, facilidad para el hurto</t>
        </is>
      </c>
      <c r="G38" s="8" t="inlineStr">
        <is>
          <t>Medir niveles de iluminación (lux) en muelle, patio y zonas de maniobra</t>
        </is>
      </c>
      <c r="H38" s="8" t="inlineStr">
        <is>
          <t>Estudio de iluminación; registro de mediciones</t>
        </is>
      </c>
      <c r="I38" s="19" t="n">
        <v>3</v>
      </c>
      <c r="J38" s="19" t="n">
        <v>3</v>
      </c>
      <c r="K38" s="17">
        <f>IF(OR($I38="",$J38=""),"",$I38*$J38)</f>
        <v>9</v>
      </c>
      <c r="L38" s="17" t="str">
        <f>IF($K38="","",IF($K38&gt;=20,"Extremo",IF($K38&gt;=12,"Alto",IF($K38&gt;=6,"Medio",IF($K38&gt;=3,"Bajo","Muy bajo")))))</f>
        <v>Medio</v>
      </c>
      <c r="M38" s="8" t="str">
        <f>IFERROR(VLOOKUP($L38,'3. Escalas y Criterios'!$A$30:$C$34,3,FALSE),"")</f>
        <v>Mensual para elementos operativos; trimestral para elementos estructurales o de instalación</v>
      </c>
      <c r="N38" s="8" t="inlineStr">
        <is>
          <t>Semestral (medición) + reposición mensual</t>
        </is>
      </c>
      <c r="O38" s="8" t="inlineStr">
        <is>
          <t>Resolución 0180540 RETILAP / ISO 8995</t>
        </is>
      </c>
      <c r="P38" s="8" t="inlineStr">
        <is>
          <t>Mantenimiento / HSE</t>
        </is>
      </c>
      <c r="Q38" s="19" t="n"/>
      <c r="R38" s="16" t="n"/>
      <c r="S38" s="16" t="n"/>
      <c r="T38" s="20" t="n"/>
    </row>
    <row r="39" ht="42" customHeight="1">
      <c r="A39" s="17" t="inlineStr">
        <is>
          <t>E-01</t>
        </is>
      </c>
      <c r="B39" s="23" t="inlineStr">
        <is>
          <t>E. Equipos de manipulación (MHE)</t>
        </is>
      </c>
      <c r="C39" s="8" t="inlineStr">
        <is>
          <t>Interacción MHE - peatón</t>
        </is>
      </c>
      <c r="D39" s="8" t="inlineStr">
        <is>
          <t>Colisión de montacargas contra personal en pasillos o zonas de picking</t>
        </is>
      </c>
      <c r="E39" s="8" t="inlineStr">
        <is>
          <t>Ausencia de segregación, puntos ciegos, velocidad excesiva, uso de celular, cruces sin espejo</t>
        </is>
      </c>
      <c r="F39" s="8" t="inlineStr">
        <is>
          <t>Lesión grave o fatal; investigación laboral y sanción</t>
        </is>
      </c>
      <c r="G39" s="8" t="inlineStr">
        <is>
          <t>Verificar demarcación de senderos, cruces con espejo o semáforo, límites de velocidad, luces azules y regla de contacto visual</t>
        </is>
      </c>
      <c r="H39" s="8" t="inlineStr">
        <is>
          <t>Mapa de flujos; auditoría de comportamiento; reportes de casi-accidente</t>
        </is>
      </c>
      <c r="I39" s="19" t="n">
        <v>4</v>
      </c>
      <c r="J39" s="19" t="n">
        <v>5</v>
      </c>
      <c r="K39" s="17">
        <f>IF(OR($I39="",$J39=""),"",$I39*$J39)</f>
        <v>20</v>
      </c>
      <c r="L39" s="17" t="str">
        <f>IF($K39="","",IF($K39&gt;=20,"Extremo",IF($K39&gt;=12,"Alto",IF($K39&gt;=6,"Medio",IF($K39&gt;=3,"Bajo","Muy bajo")))))</f>
        <v>Extremo</v>
      </c>
      <c r="M39" s="8" t="str">
        <f>IFERROR(VLOOKUP($L39,'3. Escalas y Criterios'!$A$30:$C$34,3,FALSE),"")</f>
        <v>Diaria o por turno (verificación operativa) + inspección formal semanal documentada</v>
      </c>
      <c r="N39" s="8" t="inlineStr">
        <is>
          <t>Verificación diaria en ronda; auditoría formal mensual</t>
        </is>
      </c>
      <c r="O39" s="8" t="inlineStr">
        <is>
          <t>OSHA 1910.178 / SG-SST</t>
        </is>
      </c>
      <c r="P39" s="8" t="inlineStr">
        <is>
          <t>HSE / Supervisor de turno</t>
        </is>
      </c>
      <c r="Q39" s="19" t="n"/>
      <c r="R39" s="16" t="n"/>
      <c r="S39" s="16" t="n"/>
      <c r="T39" s="20" t="n"/>
    </row>
    <row r="40" ht="42" customHeight="1">
      <c r="A40" s="17" t="inlineStr">
        <is>
          <t>E-02</t>
        </is>
      </c>
      <c r="B40" s="23" t="inlineStr">
        <is>
          <t>E. Equipos de manipulación (MHE)</t>
        </is>
      </c>
      <c r="C40" s="8" t="inlineStr">
        <is>
          <t>MHE - inspección preoperacional</t>
        </is>
      </c>
      <c r="D40" s="8" t="inlineStr">
        <is>
          <t>Operación de equipo con falla no detectada (frenos, dirección, mástil, cadenas, bocina)</t>
        </is>
      </c>
      <c r="E40" s="8" t="inlineStr">
        <is>
          <t>Preoperacional no realizado o diligenciado sin inspección real; hallazgos sin cierre</t>
        </is>
      </c>
      <c r="F40" s="8" t="inlineStr">
        <is>
          <t>Pérdida de control del equipo, caída de carga, atropellamiento</t>
        </is>
      </c>
      <c r="G40" s="8" t="inlineStr">
        <is>
          <t>Verificar que existe preoperacional por turno y por equipo, con bloqueo del equipo ante hallazgo crítico</t>
        </is>
      </c>
      <c r="H40" s="8" t="inlineStr">
        <is>
          <t>Formatos de preoperacional; tarjetas de bloqueo (lockout)</t>
        </is>
      </c>
      <c r="I40" s="19" t="n">
        <v>3</v>
      </c>
      <c r="J40" s="19" t="n">
        <v>5</v>
      </c>
      <c r="K40" s="17">
        <f>IF(OR($I40="",$J40=""),"",$I40*$J40)</f>
        <v>15</v>
      </c>
      <c r="L40" s="17" t="str">
        <f>IF($K40="","",IF($K40&gt;=20,"Extremo",IF($K40&gt;=12,"Alto",IF($K40&gt;=6,"Medio",IF($K40&gt;=3,"Bajo","Muy bajo")))))</f>
        <v>Alto</v>
      </c>
      <c r="M40" s="8" t="str">
        <f>IFERROR(VLOOKUP($L40,'3. Escalas y Criterios'!$A$30:$C$34,3,FALSE),"")</f>
        <v>Semanal (verificación) + inspección formal mensual documentada</v>
      </c>
      <c r="N40" s="8" t="inlineStr">
        <is>
          <t>Por turno / diaria</t>
        </is>
      </c>
      <c r="O40" s="8" t="inlineStr">
        <is>
          <t>OSHA 1910.178(q)(7)</t>
        </is>
      </c>
      <c r="P40" s="8" t="inlineStr">
        <is>
          <t>Supervisor de turno</t>
        </is>
      </c>
      <c r="Q40" s="19" t="n"/>
      <c r="R40" s="16" t="n"/>
      <c r="S40" s="16" t="n"/>
      <c r="T40" s="20" t="n"/>
    </row>
    <row r="41" ht="42" customHeight="1">
      <c r="A41" s="17" t="inlineStr">
        <is>
          <t>E-03</t>
        </is>
      </c>
      <c r="B41" s="23" t="inlineStr">
        <is>
          <t>E. Equipos de manipulación (MHE)</t>
        </is>
      </c>
      <c r="C41" s="8" t="inlineStr">
        <is>
          <t>MHE - mantenimiento preventivo</t>
        </is>
      </c>
      <c r="D41" s="8" t="inlineStr">
        <is>
          <t>Falla mecánica por mantenimiento vencido</t>
        </is>
      </c>
      <c r="E41" s="8" t="inlineStr">
        <is>
          <t>Plan por horas no ejecutado; repuestos no disponibles; alta utilización del equipo</t>
        </is>
      </c>
      <c r="F41" s="8" t="inlineStr">
        <is>
          <t>Paro operativo, accidente por falla de frenos o del sistema hidráulico</t>
        </is>
      </c>
      <c r="G41" s="8" t="inlineStr">
        <is>
          <t>Verificar cumplimiento del plan preventivo por horómetro y estado de horquillas (desgaste máximo 10%), cadenas y fugas</t>
        </is>
      </c>
      <c r="H41" s="8" t="inlineStr">
        <is>
          <t>Hoja de vida por equipo; % de cumplimiento del plan preventivo</t>
        </is>
      </c>
      <c r="I41" s="19" t="n">
        <v>3</v>
      </c>
      <c r="J41" s="19" t="n">
        <v>5</v>
      </c>
      <c r="K41" s="17">
        <f>IF(OR($I41="",$J41=""),"",$I41*$J41)</f>
        <v>15</v>
      </c>
      <c r="L41" s="17" t="str">
        <f>IF($K41="","",IF($K41&gt;=20,"Extremo",IF($K41&gt;=12,"Alto",IF($K41&gt;=6,"Medio",IF($K41&gt;=3,"Bajo","Muy bajo")))))</f>
        <v>Alto</v>
      </c>
      <c r="M41" s="8" t="str">
        <f>IFERROR(VLOOKUP($L41,'3. Escalas y Criterios'!$A$30:$C$34,3,FALSE),"")</f>
        <v>Semanal (verificación) + inspección formal mensual documentada</v>
      </c>
      <c r="N41" s="8" t="inlineStr">
        <is>
          <t>Preventivo según horómetro (250/500/1000 h); medición de horquillas anual</t>
        </is>
      </c>
      <c r="O41" s="8" t="inlineStr">
        <is>
          <t>ISO 5057 / manual del fabricante</t>
        </is>
      </c>
      <c r="P41" s="8" t="inlineStr">
        <is>
          <t>Mantenimiento</t>
        </is>
      </c>
      <c r="Q41" s="19" t="n"/>
      <c r="R41" s="16" t="n"/>
      <c r="S41" s="16" t="n"/>
      <c r="T41" s="20" t="n"/>
    </row>
    <row r="42" ht="42" customHeight="1">
      <c r="A42" s="17" t="inlineStr">
        <is>
          <t>E-04</t>
        </is>
      </c>
      <c r="B42" s="23" t="inlineStr">
        <is>
          <t>E. Equipos de manipulación (MHE)</t>
        </is>
      </c>
      <c r="C42" s="8" t="inlineStr">
        <is>
          <t>MHE - competencia del operador</t>
        </is>
      </c>
      <c r="D42" s="8" t="inlineStr">
        <is>
          <t>Operación por personal no certificado o no autorizado</t>
        </is>
      </c>
      <c r="E42" s="8" t="inlineStr">
        <is>
          <t>Rotación alta; suplencias improvisadas; certificaciones vencidas; contratistas sin validar</t>
        </is>
      </c>
      <c r="F42" s="8" t="inlineStr">
        <is>
          <t>Accidente grave, responsabilidad legal directa del empleador</t>
        </is>
      </c>
      <c r="G42" s="8" t="inlineStr">
        <is>
          <t>Verificar matriz de operadores autorizados por tipo de equipo, con certificación y evaluación práctica vigente</t>
        </is>
      </c>
      <c r="H42" s="8" t="inlineStr">
        <is>
          <t>Matriz de autorización; certificados de formación; carnet visible</t>
        </is>
      </c>
      <c r="I42" s="19" t="n">
        <v>3</v>
      </c>
      <c r="J42" s="19" t="n">
        <v>5</v>
      </c>
      <c r="K42" s="17">
        <f>IF(OR($I42="",$J42=""),"",$I42*$J42)</f>
        <v>15</v>
      </c>
      <c r="L42" s="17" t="str">
        <f>IF($K42="","",IF($K42&gt;=20,"Extremo",IF($K42&gt;=12,"Alto",IF($K42&gt;=6,"Medio",IF($K42&gt;=3,"Bajo","Muy bajo")))))</f>
        <v>Alto</v>
      </c>
      <c r="M42" s="8" t="str">
        <f>IFERROR(VLOOKUP($L42,'3. Escalas y Criterios'!$A$30:$C$34,3,FALSE),"")</f>
        <v>Semanal (verificación) + inspección formal mensual documentada</v>
      </c>
      <c r="N42" s="8" t="inlineStr">
        <is>
          <t>Verificación mensual de la matriz; reentrenamiento cada 3 años o tras incidente</t>
        </is>
      </c>
      <c r="O42" s="8" t="inlineStr">
        <is>
          <t>OSHA 1910.178(l)(4); Resolución 1409 de 2012 (si aplica altura)</t>
        </is>
      </c>
      <c r="P42" s="8" t="inlineStr">
        <is>
          <t>HSE / Talento Humano</t>
        </is>
      </c>
      <c r="Q42" s="19" t="n"/>
      <c r="R42" s="16" t="n"/>
      <c r="S42" s="16" t="n"/>
      <c r="T42" s="20" t="n"/>
    </row>
    <row r="43" ht="42" customHeight="1">
      <c r="A43" s="17" t="inlineStr">
        <is>
          <t>E-05</t>
        </is>
      </c>
      <c r="B43" s="23" t="inlineStr">
        <is>
          <t>E. Equipos de manipulación (MHE)</t>
        </is>
      </c>
      <c r="C43" s="8" t="inlineStr">
        <is>
          <t>Sala de carga de baterías (plomo-ácido)</t>
        </is>
      </c>
      <c r="D43" s="8" t="inlineStr">
        <is>
          <t>Explosión por hidrógeno, quemadura química o derrame de ácido</t>
        </is>
      </c>
      <c r="E43" s="8" t="inlineStr">
        <is>
          <t>Ventilación insuficiente; carga en zonas no autorizadas; ausencia de ducha lavaojos; fuentes de ignición cercanas</t>
        </is>
      </c>
      <c r="F43" s="8" t="inlineStr">
        <is>
          <t>Explosión, incendio, quemaduras graves, contaminación ambiental</t>
        </is>
      </c>
      <c r="G43" s="8" t="inlineStr">
        <is>
          <t>Verificar ventilación, señalización de no fumar, ducha y lavaojos operativos, kit de derrame, EPP y estado de cargadores</t>
        </is>
      </c>
      <c r="H43" s="8" t="inlineStr">
        <is>
          <t>Prueba de ducha/lavaojos; medición de ventilación; matriz de EPP</t>
        </is>
      </c>
      <c r="I43" s="19" t="n">
        <v>3</v>
      </c>
      <c r="J43" s="19" t="n">
        <v>5</v>
      </c>
      <c r="K43" s="17">
        <f>IF(OR($I43="",$J43=""),"",$I43*$J43)</f>
        <v>15</v>
      </c>
      <c r="L43" s="17" t="str">
        <f>IF($K43="","",IF($K43&gt;=20,"Extremo",IF($K43&gt;=12,"Alto",IF($K43&gt;=6,"Medio",IF($K43&gt;=3,"Bajo","Muy bajo")))))</f>
        <v>Alto</v>
      </c>
      <c r="M43" s="8" t="str">
        <f>IFERROR(VLOOKUP($L43,'3. Escalas y Criterios'!$A$30:$C$34,3,FALSE),"")</f>
        <v>Semanal (verificación) + inspección formal mensual documentada</v>
      </c>
      <c r="N43" s="8" t="inlineStr">
        <is>
          <t>Mensual</t>
        </is>
      </c>
      <c r="O43" s="8" t="inlineStr">
        <is>
          <t>NFPA 1 cap. 52 / OSHA 1910.178(g) / ANSI Z358.1</t>
        </is>
      </c>
      <c r="P43" s="8" t="inlineStr">
        <is>
          <t>Mantenimiento / HSE</t>
        </is>
      </c>
      <c r="Q43" s="19" t="n"/>
      <c r="R43" s="16" t="n"/>
      <c r="S43" s="16" t="n"/>
      <c r="T43" s="20" t="n"/>
    </row>
    <row r="44" ht="42" customHeight="1">
      <c r="A44" s="17" t="inlineStr">
        <is>
          <t>E-06</t>
        </is>
      </c>
      <c r="B44" s="23" t="inlineStr">
        <is>
          <t>E. Equipos de manipulación (MHE)</t>
        </is>
      </c>
      <c r="C44" s="8" t="inlineStr">
        <is>
          <t>Baterías de ion-litio</t>
        </is>
      </c>
      <c r="D44" s="8" t="inlineStr">
        <is>
          <t>Fuga térmica (thermal runaway) e incendio de difícil extinción</t>
        </is>
      </c>
      <c r="E44" s="8" t="inlineStr">
        <is>
          <t>Batería dañada por impacto; cargador no compatible; carga en zona sin protección; almacenamiento de baterías de repuesto</t>
        </is>
      </c>
      <c r="F44" s="8" t="inlineStr">
        <is>
          <t>Incendio de rápida propagación con reignición; evacuación e interrupción prolongada</t>
        </is>
      </c>
      <c r="G44" s="8" t="inlineStr">
        <is>
          <t>Verificar zona de carga dedicada, distancias de separación, detección, medios de extinción adecuados y protocolo ante batería dañada</t>
        </is>
      </c>
      <c r="H44" s="8" t="inlineStr">
        <is>
          <t>Procedimiento específico de litio; hoja de datos del fabricante</t>
        </is>
      </c>
      <c r="I44" s="19" t="n">
        <v>2</v>
      </c>
      <c r="J44" s="19" t="n">
        <v>5</v>
      </c>
      <c r="K44" s="17">
        <f>IF(OR($I44="",$J44=""),"",$I44*$J44)</f>
        <v>10</v>
      </c>
      <c r="L44" s="17" t="str">
        <f>IF($K44="","",IF($K44&gt;=20,"Extremo",IF($K44&gt;=12,"Alto",IF($K44&gt;=6,"Medio",IF($K44&gt;=3,"Bajo","Muy bajo")))))</f>
        <v>Medio</v>
      </c>
      <c r="M44" s="8" t="str">
        <f>IFERROR(VLOOKUP($L44,'3. Escalas y Criterios'!$A$30:$C$34,3,FALSE),"")</f>
        <v>Mensual para elementos operativos; trimestral para elementos estructurales o de instalación</v>
      </c>
      <c r="N44" s="8" t="inlineStr">
        <is>
          <t>Mensual</t>
        </is>
      </c>
      <c r="O44" s="8" t="inlineStr">
        <is>
          <t>NFPA 855 / recomendación del fabricante</t>
        </is>
      </c>
      <c r="P44" s="8" t="inlineStr">
        <is>
          <t>HSE / Mantenimiento</t>
        </is>
      </c>
      <c r="Q44" s="19" t="n"/>
      <c r="R44" s="16" t="n"/>
      <c r="S44" s="16" t="n"/>
      <c r="T44" s="20" t="n"/>
    </row>
    <row r="45" ht="42" customHeight="1">
      <c r="A45" s="17" t="inlineStr">
        <is>
          <t>E-07</t>
        </is>
      </c>
      <c r="B45" s="23" t="inlineStr">
        <is>
          <t>E. Equipos de manipulación (MHE)</t>
        </is>
      </c>
      <c r="C45" s="8" t="inlineStr">
        <is>
          <t>Trabajo en altura con MHE</t>
        </is>
      </c>
      <c r="D45" s="8" t="inlineStr">
        <is>
          <t>Elevación de personas en horquillas o canastilla no certificada</t>
        </is>
      </c>
      <c r="E45" s="8" t="inlineStr">
        <is>
          <t>Necesidad de acceder a niveles altos; ausencia de equipo adecuado; presión por tiempo</t>
        </is>
      </c>
      <c r="F45" s="8" t="inlineStr">
        <is>
          <t>Caída de altura con lesión fatal</t>
        </is>
      </c>
      <c r="G45" s="8" t="inlineStr">
        <is>
          <t>Prohibir elevación en estiba u horquilla; verificar disponibilidad de canastilla certificada, arnés con anclaje y permiso de trabajo</t>
        </is>
      </c>
      <c r="H45" s="8" t="inlineStr">
        <is>
          <t>Permiso de trabajo en alturas; certificación de la canastilla</t>
        </is>
      </c>
      <c r="I45" s="19" t="n">
        <v>3</v>
      </c>
      <c r="J45" s="19" t="n">
        <v>5</v>
      </c>
      <c r="K45" s="17">
        <f>IF(OR($I45="",$J45=""),"",$I45*$J45)</f>
        <v>15</v>
      </c>
      <c r="L45" s="17" t="str">
        <f>IF($K45="","",IF($K45&gt;=20,"Extremo",IF($K45&gt;=12,"Alto",IF($K45&gt;=6,"Medio",IF($K45&gt;=3,"Bajo","Muy bajo")))))</f>
        <v>Alto</v>
      </c>
      <c r="M45" s="8" t="str">
        <f>IFERROR(VLOOKUP($L45,'3. Escalas y Criterios'!$A$30:$C$34,3,FALSE),"")</f>
        <v>Semanal (verificación) + inspección formal mensual documentada</v>
      </c>
      <c r="N45" s="8" t="inlineStr">
        <is>
          <t>Cada tarea (permiso) + auditoría mensual</t>
        </is>
      </c>
      <c r="O45" s="8" t="inlineStr">
        <is>
          <t>Resolución 1409 de 2012 / OSHA 1910.178(m)(12)</t>
        </is>
      </c>
      <c r="P45" s="8" t="inlineStr">
        <is>
          <t>HSE</t>
        </is>
      </c>
      <c r="Q45" s="19" t="n"/>
      <c r="R45" s="16" t="n"/>
      <c r="S45" s="16" t="n"/>
      <c r="T45" s="20" t="n"/>
    </row>
    <row r="46" ht="42" customHeight="1">
      <c r="A46" s="17" t="inlineStr">
        <is>
          <t>E-08</t>
        </is>
      </c>
      <c r="B46" s="23" t="inlineStr">
        <is>
          <t>E. Equipos de manipulación (MHE)</t>
        </is>
      </c>
      <c r="C46" s="8" t="inlineStr">
        <is>
          <t>Orderpicker / recogepedidos en altura</t>
        </is>
      </c>
      <c r="D46" s="8" t="inlineStr">
        <is>
          <t>Caída del operario desde la plataforma elevada</t>
        </is>
      </c>
      <c r="E46" s="8" t="inlineStr">
        <is>
          <t>Arnés no usado o mal anclado; barandas retiradas; desplazamiento con plataforma elevada</t>
        </is>
      </c>
      <c r="F46" s="8" t="inlineStr">
        <is>
          <t>Fatalidad</t>
        </is>
      </c>
      <c r="G46" s="8" t="inlineStr">
        <is>
          <t>Verificar uso de arnés con eslinga corta anclada al punto del equipo y prohibición de desplazarse elevado</t>
        </is>
      </c>
      <c r="H46" s="8" t="inlineStr">
        <is>
          <t>Auditoría de comportamiento; inspección de arneses</t>
        </is>
      </c>
      <c r="I46" s="19" t="n">
        <v>3</v>
      </c>
      <c r="J46" s="19" t="n">
        <v>5</v>
      </c>
      <c r="K46" s="17">
        <f>IF(OR($I46="",$J46=""),"",$I46*$J46)</f>
        <v>15</v>
      </c>
      <c r="L46" s="17" t="str">
        <f>IF($K46="","",IF($K46&gt;=20,"Extremo",IF($K46&gt;=12,"Alto",IF($K46&gt;=6,"Medio",IF($K46&gt;=3,"Bajo","Muy bajo")))))</f>
        <v>Alto</v>
      </c>
      <c r="M46" s="8" t="str">
        <f>IFERROR(VLOOKUP($L46,'3. Escalas y Criterios'!$A$30:$C$34,3,FALSE),"")</f>
        <v>Semanal (verificación) + inspección formal mensual documentada</v>
      </c>
      <c r="N46" s="8" t="inlineStr">
        <is>
          <t>Diaria (observación) + inspección de EPP trimestral</t>
        </is>
      </c>
      <c r="O46" s="8" t="inlineStr">
        <is>
          <t>Resolución 1409 de 2012 / ANSI B56.1</t>
        </is>
      </c>
      <c r="P46" s="8" t="inlineStr">
        <is>
          <t>HSE / Supervisor</t>
        </is>
      </c>
      <c r="Q46" s="19" t="n"/>
      <c r="R46" s="16" t="n"/>
      <c r="S46" s="16" t="n"/>
      <c r="T46" s="20" t="n"/>
    </row>
    <row r="47" ht="42" customHeight="1">
      <c r="A47" s="17" t="inlineStr">
        <is>
          <t>E-09</t>
        </is>
      </c>
      <c r="B47" s="23" t="inlineStr">
        <is>
          <t>E. Equipos de manipulación (MHE)</t>
        </is>
      </c>
      <c r="C47" s="8" t="inlineStr">
        <is>
          <t>Volcamiento de MHE</t>
        </is>
      </c>
      <c r="D47" s="8" t="inlineStr">
        <is>
          <t>Volcamiento lateral o longitudinal del montacargas</t>
        </is>
      </c>
      <c r="E47" s="8" t="inlineStr">
        <is>
          <t>Giro a velocidad con carga elevada; piso irregular o en pendiente; carga descentrada; llantas desgastadas</t>
        </is>
      </c>
      <c r="F47" s="8" t="inlineStr">
        <is>
          <t>Aplastamiento del operador (frecuentemente fatal si no usa cinturón)</t>
        </is>
      </c>
      <c r="G47" s="8" t="inlineStr">
        <is>
          <t>Verificar uso de cinturón de seguridad, límites de velocidad, estado de llantas, reglas de conducción con carga baja</t>
        </is>
      </c>
      <c r="H47" s="8" t="inlineStr">
        <is>
          <t>Auditoría de comportamiento; registro de velocidades (telemetría)</t>
        </is>
      </c>
      <c r="I47" s="19" t="n">
        <v>3</v>
      </c>
      <c r="J47" s="19" t="n">
        <v>5</v>
      </c>
      <c r="K47" s="17">
        <f>IF(OR($I47="",$J47=""),"",$I47*$J47)</f>
        <v>15</v>
      </c>
      <c r="L47" s="17" t="str">
        <f>IF($K47="","",IF($K47&gt;=20,"Extremo",IF($K47&gt;=12,"Alto",IF($K47&gt;=6,"Medio",IF($K47&gt;=3,"Bajo","Muy bajo")))))</f>
        <v>Alto</v>
      </c>
      <c r="M47" s="8" t="str">
        <f>IFERROR(VLOOKUP($L47,'3. Escalas y Criterios'!$A$30:$C$34,3,FALSE),"")</f>
        <v>Semanal (verificación) + inspección formal mensual documentada</v>
      </c>
      <c r="N47" s="8" t="inlineStr">
        <is>
          <t>Observación diaria; auditoría mensual</t>
        </is>
      </c>
      <c r="O47" s="8" t="inlineStr">
        <is>
          <t>OSHA 1910.178 / ANSI B56.1</t>
        </is>
      </c>
      <c r="P47" s="8" t="inlineStr">
        <is>
          <t>HSE / Supervisor</t>
        </is>
      </c>
      <c r="Q47" s="19" t="n"/>
      <c r="R47" s="16" t="n"/>
      <c r="S47" s="16" t="n"/>
      <c r="T47" s="20" t="n"/>
    </row>
    <row r="48" ht="42" customHeight="1">
      <c r="A48" s="17" t="inlineStr">
        <is>
          <t>E-10</t>
        </is>
      </c>
      <c r="B48" s="23" t="inlineStr">
        <is>
          <t>E. Equipos de manipulación (MHE)</t>
        </is>
      </c>
      <c r="C48" s="8" t="inlineStr">
        <is>
          <t>Equipos de combustión interna (GLP/diésel)</t>
        </is>
      </c>
      <c r="D48" s="8" t="inlineStr">
        <is>
          <t>Incendio o intoxicación asociada a equipos de combustión</t>
        </is>
      </c>
      <c r="E48" s="8" t="inlineStr">
        <is>
          <t>Fuga de GLP; almacenamiento inadecuado de cilindros; operación en área cerrada</t>
        </is>
      </c>
      <c r="F48" s="8" t="inlineStr">
        <is>
          <t>Incendio, explosión de cilindros, intoxicación por CO</t>
        </is>
      </c>
      <c r="G48" s="8" t="inlineStr">
        <is>
          <t>Verificar área de almacenamiento de cilindros ventilada y señalizada, prueba de fugas y ventilación de la zona de operación</t>
        </is>
      </c>
      <c r="H48" s="8" t="inlineStr">
        <is>
          <t>Registro de cambio de cilindros; medición de CO</t>
        </is>
      </c>
      <c r="I48" s="19" t="n">
        <v>2</v>
      </c>
      <c r="J48" s="19" t="n">
        <v>5</v>
      </c>
      <c r="K48" s="17">
        <f>IF(OR($I48="",$J48=""),"",$I48*$J48)</f>
        <v>10</v>
      </c>
      <c r="L48" s="17" t="str">
        <f>IF($K48="","",IF($K48&gt;=20,"Extremo",IF($K48&gt;=12,"Alto",IF($K48&gt;=6,"Medio",IF($K48&gt;=3,"Bajo","Muy bajo")))))</f>
        <v>Medio</v>
      </c>
      <c r="M48" s="8" t="str">
        <f>IFERROR(VLOOKUP($L48,'3. Escalas y Criterios'!$A$30:$C$34,3,FALSE),"")</f>
        <v>Mensual para elementos operativos; trimestral para elementos estructurales o de instalación</v>
      </c>
      <c r="N48" s="8" t="inlineStr">
        <is>
          <t>Mensual</t>
        </is>
      </c>
      <c r="O48" s="8" t="inlineStr">
        <is>
          <t>NFPA 58 / OSHA 1910.110</t>
        </is>
      </c>
      <c r="P48" s="8" t="inlineStr">
        <is>
          <t>Mantenimiento / HSE</t>
        </is>
      </c>
      <c r="Q48" s="19" t="n"/>
      <c r="R48" s="16" t="n"/>
      <c r="S48" s="16" t="n"/>
      <c r="T48" s="20" t="n"/>
    </row>
    <row r="49" ht="48" customHeight="1">
      <c r="A49" s="17" t="inlineStr">
        <is>
          <t>F-01</t>
        </is>
      </c>
      <c r="B49" s="24" t="inlineStr">
        <is>
          <t>F. Incendio y protección contra incendio</t>
        </is>
      </c>
      <c r="C49" s="8" t="inlineStr">
        <is>
          <t>Sistema de rociadores automáticos</t>
        </is>
      </c>
      <c r="D49" s="8" t="inlineStr">
        <is>
          <t>Sistema fuera de servicio o con válvulas cerradas al momento del incendio</t>
        </is>
      </c>
      <c r="E49" s="8" t="inlineStr">
        <is>
          <t>Válvula cerrada tras mantenimiento sin control; falta de supervisión electrónica; falla de bomba; obstrucción de deflectores</t>
        </is>
      </c>
      <c r="F49" s="8" t="inlineStr">
        <is>
          <t>Pérdida total de la instalación; posible rechazo del siniestro por incumplimiento de garantía</t>
        </is>
      </c>
      <c r="G49" s="8" t="inlineStr">
        <is>
          <t>Verificar válvulas de control abiertas y aseguradas, presiones, prueba de flujo de la bomba y ausencia de obstrucciones</t>
        </is>
      </c>
      <c r="H49" s="8" t="inlineStr">
        <is>
          <t>Registros NFPA 25; procedimiento de impairment (fuera de servicio) con permiso</t>
        </is>
      </c>
      <c r="I49" s="19" t="n">
        <v>2</v>
      </c>
      <c r="J49" s="19" t="n">
        <v>5</v>
      </c>
      <c r="K49" s="17">
        <f>IF(OR($I49="",$J49=""),"",$I49*$J49)</f>
        <v>10</v>
      </c>
      <c r="L49" s="17" t="str">
        <f>IF($K49="","",IF($K49&gt;=20,"Extremo",IF($K49&gt;=12,"Alto",IF($K49&gt;=6,"Medio",IF($K49&gt;=3,"Bajo","Muy bajo")))))</f>
        <v>Medio</v>
      </c>
      <c r="M49" s="8" t="str">
        <f>IFERROR(VLOOKUP($L49,'3. Escalas y Criterios'!$A$30:$C$34,3,FALSE),"")</f>
        <v>Mensual para elementos operativos; trimestral para elementos estructurales o de instalación</v>
      </c>
      <c r="N49" s="8" t="inlineStr">
        <is>
          <t>Semanal/mensual (válvulas y manómetros), trimestral (dispositivos de alarma), anual (prueba completa), quinquenal (inspección interna de tubería)</t>
        </is>
      </c>
      <c r="O49" s="8" t="inlineStr">
        <is>
          <t>NFPA 25 / NFPA 13</t>
        </is>
      </c>
      <c r="P49" s="8" t="inlineStr">
        <is>
          <t>Mantenimiento / HSE</t>
        </is>
      </c>
      <c r="Q49" s="19" t="n"/>
      <c r="R49" s="16" t="n"/>
      <c r="S49" s="16" t="n"/>
      <c r="T49" s="20" t="n"/>
    </row>
    <row r="50" ht="42" customHeight="1">
      <c r="A50" s="17" t="inlineStr">
        <is>
          <t>F-02</t>
        </is>
      </c>
      <c r="B50" s="24" t="inlineStr">
        <is>
          <t>F. Incendio y protección contra incendio</t>
        </is>
      </c>
      <c r="C50" s="8" t="inlineStr">
        <is>
          <t>Bomba contra incendio y reserva de agua</t>
        </is>
      </c>
      <c r="D50" s="8" t="inlineStr">
        <is>
          <t>Insuficiencia de agua o falla de la bomba en emergencia</t>
        </is>
      </c>
      <c r="E50" s="8" t="inlineStr">
        <is>
          <t>Nivel de tanque bajo; batería de arranque descargada; falta de prueba con flujo; falla del motor diésel</t>
        </is>
      </c>
      <c r="F50" s="8" t="inlineStr">
        <is>
          <t>Incapacidad de controlar el incendio; pérdida total</t>
        </is>
      </c>
      <c r="G50" s="8" t="inlineStr">
        <is>
          <t>Verificar nivel del tanque, arranque semanal sin flujo y prueba anual con flujo según curva</t>
        </is>
      </c>
      <c r="H50" s="8" t="inlineStr">
        <is>
          <t>Registro de arranque semanal; informe de prueba anual con caudalímetro</t>
        </is>
      </c>
      <c r="I50" s="19" t="n">
        <v>3</v>
      </c>
      <c r="J50" s="19" t="n">
        <v>5</v>
      </c>
      <c r="K50" s="17">
        <f>IF(OR($I50="",$J50=""),"",$I50*$J50)</f>
        <v>15</v>
      </c>
      <c r="L50" s="17" t="str">
        <f>IF($K50="","",IF($K50&gt;=20,"Extremo",IF($K50&gt;=12,"Alto",IF($K50&gt;=6,"Medio",IF($K50&gt;=3,"Bajo","Muy bajo")))))</f>
        <v>Alto</v>
      </c>
      <c r="M50" s="8" t="str">
        <f>IFERROR(VLOOKUP($L50,'3. Escalas y Criterios'!$A$30:$C$34,3,FALSE),"")</f>
        <v>Semanal (verificación) + inspección formal mensual documentada</v>
      </c>
      <c r="N50" s="8" t="inlineStr">
        <is>
          <t>Arranque semanal; prueba anual con flujo</t>
        </is>
      </c>
      <c r="O50" s="8" t="inlineStr">
        <is>
          <t>NFPA 25 / NFPA 20</t>
        </is>
      </c>
      <c r="P50" s="8" t="inlineStr">
        <is>
          <t>Mantenimiento</t>
        </is>
      </c>
      <c r="Q50" s="19" t="n"/>
      <c r="R50" s="16" t="n"/>
      <c r="S50" s="16" t="n"/>
      <c r="T50" s="20" t="n"/>
    </row>
    <row r="51" ht="42" customHeight="1">
      <c r="A51" s="17" t="inlineStr">
        <is>
          <t>F-03</t>
        </is>
      </c>
      <c r="B51" s="24" t="inlineStr">
        <is>
          <t>F. Incendio y protección contra incendio</t>
        </is>
      </c>
      <c r="C51" s="8" t="inlineStr">
        <is>
          <t>Detección y alarma</t>
        </is>
      </c>
      <c r="D51" s="8" t="inlineStr">
        <is>
          <t>Falla en la detección temprana o en la notificación masiva</t>
        </is>
      </c>
      <c r="E51" s="8" t="inlineStr">
        <is>
          <t>Detectores sucios u obstruidos; panel en falla o silenciado; ausencia de prueba funcional; alarma no audible en toda la bodega</t>
        </is>
      </c>
      <c r="F51" s="8" t="inlineStr">
        <is>
          <t>Detección tardía, evacuación tardía, víctimas</t>
        </is>
      </c>
      <c r="G51" s="8" t="inlineStr">
        <is>
          <t>Verificar panel sin fallas, prueba funcional por zonas, audibilidad y visibilidad de la alarma en todas las áreas</t>
        </is>
      </c>
      <c r="H51" s="8" t="inlineStr">
        <is>
          <t>Certificado de prueba del sistema de detección; registro de eventos del panel</t>
        </is>
      </c>
      <c r="I51" s="19" t="n">
        <v>3</v>
      </c>
      <c r="J51" s="19" t="n">
        <v>5</v>
      </c>
      <c r="K51" s="17">
        <f>IF(OR($I51="",$J51=""),"",$I51*$J51)</f>
        <v>15</v>
      </c>
      <c r="L51" s="17" t="str">
        <f>IF($K51="","",IF($K51&gt;=20,"Extremo",IF($K51&gt;=12,"Alto",IF($K51&gt;=6,"Medio",IF($K51&gt;=3,"Bajo","Muy bajo")))))</f>
        <v>Alto</v>
      </c>
      <c r="M51" s="8" t="str">
        <f>IFERROR(VLOOKUP($L51,'3. Escalas y Criterios'!$A$30:$C$34,3,FALSE),"")</f>
        <v>Semanal (verificación) + inspección formal mensual documentada</v>
      </c>
      <c r="N51" s="8" t="inlineStr">
        <is>
          <t>Revisión mensual del panel; prueba funcional semestral y certificación anual</t>
        </is>
      </c>
      <c r="O51" s="8" t="inlineStr">
        <is>
          <t>NFPA 72</t>
        </is>
      </c>
      <c r="P51" s="8" t="inlineStr">
        <is>
          <t>Mantenimiento / HSE</t>
        </is>
      </c>
      <c r="Q51" s="19" t="n"/>
      <c r="R51" s="16" t="n"/>
      <c r="S51" s="16" t="n"/>
      <c r="T51" s="20" t="n"/>
    </row>
    <row r="52" ht="42" customHeight="1">
      <c r="A52" s="17" t="inlineStr">
        <is>
          <t>F-04</t>
        </is>
      </c>
      <c r="B52" s="24" t="inlineStr">
        <is>
          <t>F. Incendio y protección contra incendio</t>
        </is>
      </c>
      <c r="C52" s="8" t="inlineStr">
        <is>
          <t>Extintores portátiles</t>
        </is>
      </c>
      <c r="D52" s="8" t="inlineStr">
        <is>
          <t>Extintor no disponible, obstruido, descargado o inadecuado para el riesgo</t>
        </is>
      </c>
      <c r="E52" s="8" t="inlineStr">
        <is>
          <t>Falta de inspección mensual; obstrucción por producto; agente no acorde a la clase de fuego</t>
        </is>
      </c>
      <c r="F52" s="8" t="inlineStr">
        <is>
          <t>Conato que evoluciona a incendio mayor</t>
        </is>
      </c>
      <c r="G52" s="8" t="inlineStr">
        <is>
          <t>Verificar ubicación según distancia máxima de recorrido, señalización, presión, sello, fecha de recarga y acceso libre</t>
        </is>
      </c>
      <c r="H52" s="8" t="inlineStr">
        <is>
          <t>Tarjeta de inspección mensual; certificado de recarga</t>
        </is>
      </c>
      <c r="I52" s="19" t="n">
        <v>4</v>
      </c>
      <c r="J52" s="19" t="n">
        <v>3</v>
      </c>
      <c r="K52" s="17">
        <f>IF(OR($I52="",$J52=""),"",$I52*$J52)</f>
        <v>12</v>
      </c>
      <c r="L52" s="17" t="str">
        <f>IF($K52="","",IF($K52&gt;=20,"Extremo",IF($K52&gt;=12,"Alto",IF($K52&gt;=6,"Medio",IF($K52&gt;=3,"Bajo","Muy bajo")))))</f>
        <v>Alto</v>
      </c>
      <c r="M52" s="8" t="str">
        <f>IFERROR(VLOOKUP($L52,'3. Escalas y Criterios'!$A$30:$C$34,3,FALSE),"")</f>
        <v>Semanal (verificación) + inspección formal mensual documentada</v>
      </c>
      <c r="N52" s="8" t="inlineStr">
        <is>
          <t>Inspección mensual; mantenimiento y recarga anual; prueba hidrostática cada 5-12 años según tipo</t>
        </is>
      </c>
      <c r="O52" s="8" t="inlineStr">
        <is>
          <t>NFPA 10 / NTC 2885</t>
        </is>
      </c>
      <c r="P52" s="8" t="inlineStr">
        <is>
          <t>HSE / Brigada</t>
        </is>
      </c>
      <c r="Q52" s="19" t="n"/>
      <c r="R52" s="16" t="n"/>
      <c r="S52" s="16" t="n"/>
      <c r="T52" s="20" t="n"/>
    </row>
    <row r="53" ht="42" customHeight="1">
      <c r="A53" s="17" t="inlineStr">
        <is>
          <t>F-05</t>
        </is>
      </c>
      <c r="B53" s="24" t="inlineStr">
        <is>
          <t>F. Incendio y protección contra incendio</t>
        </is>
      </c>
      <c r="C53" s="8" t="inlineStr">
        <is>
          <t>Gabinetes e hidrantes</t>
        </is>
      </c>
      <c r="D53" s="8" t="inlineStr">
        <is>
          <t>Red de hidrantes o gabinetes inoperante</t>
        </is>
      </c>
      <c r="E53" s="8" t="inlineStr">
        <is>
          <t>Mangueras deterioradas; válvulas agarrotadas; hidrantes obstruidos por producto o vehículos</t>
        </is>
      </c>
      <c r="F53" s="8" t="inlineStr">
        <is>
          <t>Imposibilidad de respuesta manual de la brigada o de los bomberos</t>
        </is>
      </c>
      <c r="G53" s="8" t="inlineStr">
        <is>
          <t>Verificar presión, estado de mangueras, boquillas, llaves y libre acceso a hidrantes exteriores</t>
        </is>
      </c>
      <c r="H53" s="8" t="inlineStr">
        <is>
          <t>Registro de prueba de gabinetes e hidrantes</t>
        </is>
      </c>
      <c r="I53" s="19" t="n">
        <v>3</v>
      </c>
      <c r="J53" s="19" t="n">
        <v>5</v>
      </c>
      <c r="K53" s="17">
        <f>IF(OR($I53="",$J53=""),"",$I53*$J53)</f>
        <v>15</v>
      </c>
      <c r="L53" s="17" t="str">
        <f>IF($K53="","",IF($K53&gt;=20,"Extremo",IF($K53&gt;=12,"Alto",IF($K53&gt;=6,"Medio",IF($K53&gt;=3,"Bajo","Muy bajo")))))</f>
        <v>Alto</v>
      </c>
      <c r="M53" s="8" t="str">
        <f>IFERROR(VLOOKUP($L53,'3. Escalas y Criterios'!$A$30:$C$34,3,FALSE),"")</f>
        <v>Semanal (verificación) + inspección formal mensual documentada</v>
      </c>
      <c r="N53" s="8" t="inlineStr">
        <is>
          <t>Inspección trimestral; prueba de flujo anual; reemplazo/prueba de manguera cada 5 años</t>
        </is>
      </c>
      <c r="O53" s="8" t="inlineStr">
        <is>
          <t>NFPA 25 / NFPA 14</t>
        </is>
      </c>
      <c r="P53" s="8" t="inlineStr">
        <is>
          <t>Mantenimiento / Brigada</t>
        </is>
      </c>
      <c r="Q53" s="19" t="n"/>
      <c r="R53" s="16" t="n"/>
      <c r="S53" s="16" t="n"/>
      <c r="T53" s="20" t="n"/>
    </row>
    <row r="54" ht="42" customHeight="1">
      <c r="A54" s="17" t="inlineStr">
        <is>
          <t>F-06</t>
        </is>
      </c>
      <c r="B54" s="24" t="inlineStr">
        <is>
          <t>F. Incendio y protección contra incendio</t>
        </is>
      </c>
      <c r="C54" s="8" t="inlineStr">
        <is>
          <t>Almacenamiento de inflamables y aerosoles</t>
        </is>
      </c>
      <c r="D54" s="8" t="inlineStr">
        <is>
          <t>Incendio de crecimiento explosivo por líquidos inflamables o aerosoles</t>
        </is>
      </c>
      <c r="E54" s="8" t="inlineStr">
        <is>
          <t>Almacenamiento fuera de cuarto dedicado; mezcla con carga general; ausencia de dique o gabinete; ventilación inadecuada</t>
        </is>
      </c>
      <c r="F54" s="8" t="inlineStr">
        <is>
          <t>Explosión de recipientes (BLEVE), propagación rápida, pérdida total</t>
        </is>
      </c>
      <c r="G54" s="8" t="inlineStr">
        <is>
          <t>Verificar cuarto o gabinete dedicado, cantidades máximas permitidas, dique de contención, ventilación, señalización y protección específica</t>
        </is>
      </c>
      <c r="H54" s="8" t="inlineStr">
        <is>
          <t>Inventario de sustancias; hojas de seguridad (FDS); plano de la zona</t>
        </is>
      </c>
      <c r="I54" s="19" t="n">
        <v>3</v>
      </c>
      <c r="J54" s="19" t="n">
        <v>5</v>
      </c>
      <c r="K54" s="17">
        <f>IF(OR($I54="",$J54=""),"",$I54*$J54)</f>
        <v>15</v>
      </c>
      <c r="L54" s="17" t="str">
        <f>IF($K54="","",IF($K54&gt;=20,"Extremo",IF($K54&gt;=12,"Alto",IF($K54&gt;=6,"Medio",IF($K54&gt;=3,"Bajo","Muy bajo")))))</f>
        <v>Alto</v>
      </c>
      <c r="M54" s="8" t="str">
        <f>IFERROR(VLOOKUP($L54,'3. Escalas y Criterios'!$A$30:$C$34,3,FALSE),"")</f>
        <v>Semanal (verificación) + inspección formal mensual documentada</v>
      </c>
      <c r="N54" s="8" t="inlineStr">
        <is>
          <t>Mensual</t>
        </is>
      </c>
      <c r="O54" s="8" t="inlineStr">
        <is>
          <t>NFPA 30 / NFPA 30B</t>
        </is>
      </c>
      <c r="P54" s="8" t="inlineStr">
        <is>
          <t>HSE / Calidad</t>
        </is>
      </c>
      <c r="Q54" s="19" t="n"/>
      <c r="R54" s="16" t="n"/>
      <c r="S54" s="16" t="n"/>
      <c r="T54" s="20" t="n"/>
    </row>
    <row r="55" ht="42" customHeight="1">
      <c r="A55" s="17" t="inlineStr">
        <is>
          <t>F-07</t>
        </is>
      </c>
      <c r="B55" s="24" t="inlineStr">
        <is>
          <t>F. Incendio y protección contra incendio</t>
        </is>
      </c>
      <c r="C55" s="8" t="inlineStr">
        <is>
          <t>Trabajos en caliente</t>
        </is>
      </c>
      <c r="D55" s="8" t="inlineStr">
        <is>
          <t>Ignición durante soldadura, corte o esmerilado</t>
        </is>
      </c>
      <c r="E55" s="8" t="inlineStr">
        <is>
          <t>Trabajo sin permiso; ausencia de vigía de fuego; material combustible cercano; no se cubre el área</t>
        </is>
      </c>
      <c r="F55" s="8" t="inlineStr">
        <is>
          <t>Incendio mayor originado por contratista</t>
        </is>
      </c>
      <c r="G55" s="8" t="inlineStr">
        <is>
          <t>Verificar permiso de trabajo en caliente, retiro de combustibles en 11 m, vigía de fuego y monitoreo posterior de 60 minutos</t>
        </is>
      </c>
      <c r="H55" s="8" t="inlineStr">
        <is>
          <t>Permisos de trabajo en caliente archivados</t>
        </is>
      </c>
      <c r="I55" s="19" t="n">
        <v>3</v>
      </c>
      <c r="J55" s="19" t="n">
        <v>5</v>
      </c>
      <c r="K55" s="17">
        <f>IF(OR($I55="",$J55=""),"",$I55*$J55)</f>
        <v>15</v>
      </c>
      <c r="L55" s="17" t="str">
        <f>IF($K55="","",IF($K55&gt;=20,"Extremo",IF($K55&gt;=12,"Alto",IF($K55&gt;=6,"Medio",IF($K55&gt;=3,"Bajo","Muy bajo")))))</f>
        <v>Alto</v>
      </c>
      <c r="M55" s="8" t="str">
        <f>IFERROR(VLOOKUP($L55,'3. Escalas y Criterios'!$A$30:$C$34,3,FALSE),"")</f>
        <v>Semanal (verificación) + inspección formal mensual documentada</v>
      </c>
      <c r="N55" s="8" t="inlineStr">
        <is>
          <t>Cada trabajo + auditoría mensual del programa</t>
        </is>
      </c>
      <c r="O55" s="8" t="inlineStr">
        <is>
          <t>NFPA 51B</t>
        </is>
      </c>
      <c r="P55" s="8" t="inlineStr">
        <is>
          <t>HSE / Mantenimiento</t>
        </is>
      </c>
      <c r="Q55" s="19" t="n"/>
      <c r="R55" s="16" t="n"/>
      <c r="S55" s="16" t="n"/>
      <c r="T55" s="20" t="n"/>
    </row>
    <row r="56" ht="42" customHeight="1">
      <c r="A56" s="17" t="inlineStr">
        <is>
          <t>F-08</t>
        </is>
      </c>
      <c r="B56" s="24" t="inlineStr">
        <is>
          <t>F. Incendio y protección contra incendio</t>
        </is>
      </c>
      <c r="C56" s="8" t="inlineStr">
        <is>
          <t>Instalaciones eléctricas temporales</t>
        </is>
      </c>
      <c r="D56" s="8" t="inlineStr">
        <is>
          <t>Ignición por extensiones, multitomas o instalaciones provisionales</t>
        </is>
      </c>
      <c r="E56" s="8" t="inlineStr">
        <is>
          <t>Extensiones en cascada; cables dañados; tomas sobrecargadas; instalaciones provisionales que se vuelven permanentes</t>
        </is>
      </c>
      <c r="F56" s="8" t="inlineStr">
        <is>
          <t>Incendio de origen eléctrico (una de las causas más frecuentes en bodegas)</t>
        </is>
      </c>
      <c r="G56" s="8" t="inlineStr">
        <is>
          <t>Recorrido de verificación de extensiones, estado de cables, tableros cerrados y señalizados, y ausencia de conexiones improvisadas</t>
        </is>
      </c>
      <c r="H56" s="8" t="inlineStr">
        <is>
          <t>Reporte de hallazgos eléctricos; termografía</t>
        </is>
      </c>
      <c r="I56" s="19" t="n">
        <v>4</v>
      </c>
      <c r="J56" s="19" t="n">
        <v>4</v>
      </c>
      <c r="K56" s="17">
        <f>IF(OR($I56="",$J56=""),"",$I56*$J56)</f>
        <v>16</v>
      </c>
      <c r="L56" s="17" t="str">
        <f>IF($K56="","",IF($K56&gt;=20,"Extremo",IF($K56&gt;=12,"Alto",IF($K56&gt;=6,"Medio",IF($K56&gt;=3,"Bajo","Muy bajo")))))</f>
        <v>Alto</v>
      </c>
      <c r="M56" s="8" t="str">
        <f>IFERROR(VLOOKUP($L56,'3. Escalas y Criterios'!$A$30:$C$34,3,FALSE),"")</f>
        <v>Semanal (verificación) + inspección formal mensual documentada</v>
      </c>
      <c r="N56" s="8" t="inlineStr">
        <is>
          <t>Mensual</t>
        </is>
      </c>
      <c r="O56" s="8" t="inlineStr">
        <is>
          <t>RETIE / NFPA 70</t>
        </is>
      </c>
      <c r="P56" s="8" t="inlineStr">
        <is>
          <t>Mantenimiento</t>
        </is>
      </c>
      <c r="Q56" s="19" t="n"/>
      <c r="R56" s="16" t="n"/>
      <c r="S56" s="16" t="n"/>
      <c r="T56" s="20" t="n"/>
    </row>
    <row r="57" ht="42" customHeight="1">
      <c r="A57" s="17" t="inlineStr">
        <is>
          <t>F-09</t>
        </is>
      </c>
      <c r="B57" s="24" t="inlineStr">
        <is>
          <t>F. Incendio y protección contra incendio</t>
        </is>
      </c>
      <c r="C57" s="8" t="inlineStr">
        <is>
          <t>Estibas de madera, cartonería y residuos</t>
        </is>
      </c>
      <c r="D57" s="8" t="inlineStr">
        <is>
          <t>Acumulación de material combustible dentro y fuera de la bodega</t>
        </is>
      </c>
      <c r="E57" s="8" t="inlineStr">
        <is>
          <t>Estibas apiladas contra muros; residuos sin evacuar; cartonería acumulada en pasillos</t>
        </is>
      </c>
      <c r="F57" s="8" t="inlineStr">
        <is>
          <t>Incendio de rápida propagación; propagación exterior hacia la cubierta</t>
        </is>
      </c>
      <c r="G57" s="8" t="inlineStr">
        <is>
          <t>Verificar patio de estibas separado del edificio (mínimo 3-10 m según cantidad), altura máxima de rumas y evacuación diaria de residuos</t>
        </is>
      </c>
      <c r="H57" s="8" t="inlineStr">
        <is>
          <t>Ronda de orden y aseo; contrato de recolección de residuos</t>
        </is>
      </c>
      <c r="I57" s="19" t="n">
        <v>4</v>
      </c>
      <c r="J57" s="19" t="n">
        <v>4</v>
      </c>
      <c r="K57" s="17">
        <f>IF(OR($I57="",$J57=""),"",$I57*$J57)</f>
        <v>16</v>
      </c>
      <c r="L57" s="17" t="str">
        <f>IF($K57="","",IF($K57&gt;=20,"Extremo",IF($K57&gt;=12,"Alto",IF($K57&gt;=6,"Medio",IF($K57&gt;=3,"Bajo","Muy bajo")))))</f>
        <v>Alto</v>
      </c>
      <c r="M57" s="8" t="str">
        <f>IFERROR(VLOOKUP($L57,'3. Escalas y Criterios'!$A$30:$C$34,3,FALSE),"")</f>
        <v>Semanal (verificación) + inspección formal mensual documentada</v>
      </c>
      <c r="N57" s="8" t="inlineStr">
        <is>
          <t>Semanal (rondas diarias de aseo)</t>
        </is>
      </c>
      <c r="O57" s="8" t="inlineStr">
        <is>
          <t>NFPA 230 / FM Global DS 8-24</t>
        </is>
      </c>
      <c r="P57" s="8" t="inlineStr">
        <is>
          <t>HSE / Servicios Generales</t>
        </is>
      </c>
      <c r="Q57" s="19" t="n"/>
      <c r="R57" s="16" t="n"/>
      <c r="S57" s="16" t="n"/>
      <c r="T57" s="20" t="n"/>
    </row>
    <row r="58" ht="48" customHeight="1">
      <c r="A58" s="17" t="inlineStr">
        <is>
          <t>F-10</t>
        </is>
      </c>
      <c r="B58" s="24" t="inlineStr">
        <is>
          <t>F. Incendio y protección contra incendio</t>
        </is>
      </c>
      <c r="C58" s="8" t="inlineStr">
        <is>
          <t>Rutas de evacuación y simulacros</t>
        </is>
      </c>
      <c r="D58" s="8" t="inlineStr">
        <is>
          <t>Evacuación desordenada o fallida</t>
        </is>
      </c>
      <c r="E58" s="8" t="inlineStr">
        <is>
          <t>Rutas obstruidas o mal señalizadas; puertas de emergencia con candado; personal sin entrenamiento; visitantes y contratistas no incluidos</t>
        </is>
      </c>
      <c r="F58" s="8" t="inlineStr">
        <is>
          <t>Víctimas múltiples; sanción legal</t>
        </is>
      </c>
      <c r="G58" s="8" t="inlineStr">
        <is>
          <t>Verificar salidas libres con apertura en sentido de evacuación, señalización fotoluminiscente, punto de encuentro y realización de simulacros con todos los turnos</t>
        </is>
      </c>
      <c r="H58" s="8" t="inlineStr">
        <is>
          <t>Acta de simulacro con evaluación y plan de mejora; plano de evacuación</t>
        </is>
      </c>
      <c r="I58" s="19" t="n">
        <v>3</v>
      </c>
      <c r="J58" s="19" t="n">
        <v>5</v>
      </c>
      <c r="K58" s="17">
        <f>IF(OR($I58="",$J58=""),"",$I58*$J58)</f>
        <v>15</v>
      </c>
      <c r="L58" s="17" t="str">
        <f>IF($K58="","",IF($K58&gt;=20,"Extremo",IF($K58&gt;=12,"Alto",IF($K58&gt;=6,"Medio",IF($K58&gt;=3,"Bajo","Muy bajo")))))</f>
        <v>Alto</v>
      </c>
      <c r="M58" s="8" t="str">
        <f>IFERROR(VLOOKUP($L58,'3. Escalas y Criterios'!$A$30:$C$34,3,FALSE),"")</f>
        <v>Semanal (verificación) + inspección formal mensual documentada</v>
      </c>
      <c r="N58" s="8" t="inlineStr">
        <is>
          <t>Verificación diaria de salidas libres; simulacro al menos anual (recomendado semestral y por turno)</t>
        </is>
      </c>
      <c r="O58" s="8" t="inlineStr">
        <is>
          <t>NTC 1700 / NFPA 101 / Decreto 1072 de 2015</t>
        </is>
      </c>
      <c r="P58" s="8" t="inlineStr">
        <is>
          <t>HSE / Brigada</t>
        </is>
      </c>
      <c r="Q58" s="19" t="n"/>
      <c r="R58" s="16" t="n"/>
      <c r="S58" s="16" t="n"/>
      <c r="T58" s="20" t="n"/>
    </row>
    <row r="59" ht="42" customHeight="1">
      <c r="A59" s="17" t="inlineStr">
        <is>
          <t>F-11</t>
        </is>
      </c>
      <c r="B59" s="24" t="inlineStr">
        <is>
          <t>F. Incendio y protección contra incendio</t>
        </is>
      </c>
      <c r="C59" s="8" t="inlineStr">
        <is>
          <t>Brigada de emergencia</t>
        </is>
      </c>
      <c r="D59" s="8" t="inlineStr">
        <is>
          <t>Respuesta inadecuada por brigada insuficiente o no entrenada</t>
        </is>
      </c>
      <c r="E59" s="8" t="inlineStr">
        <is>
          <t>Rotación de brigadistas; falta de cobertura en turnos nocturnos y fines de semana; entrenamiento vencido</t>
        </is>
      </c>
      <c r="F59" s="8" t="inlineStr">
        <is>
          <t>Conato que evoluciona; atención tardía de lesionados</t>
        </is>
      </c>
      <c r="G59" s="8" t="inlineStr">
        <is>
          <t>Verificar número de brigadistas por turno, entrenamiento vigente, dotación y plan de llamadas de emergencia</t>
        </is>
      </c>
      <c r="H59" s="8" t="inlineStr">
        <is>
          <t>Acta de conformación de brigada; certificados de entrenamiento; cronograma</t>
        </is>
      </c>
      <c r="I59" s="19" t="n">
        <v>3</v>
      </c>
      <c r="J59" s="19" t="n">
        <v>5</v>
      </c>
      <c r="K59" s="17">
        <f>IF(OR($I59="",$J59=""),"",$I59*$J59)</f>
        <v>15</v>
      </c>
      <c r="L59" s="17" t="str">
        <f>IF($K59="","",IF($K59&gt;=20,"Extremo",IF($K59&gt;=12,"Alto",IF($K59&gt;=6,"Medio",IF($K59&gt;=3,"Bajo","Muy bajo")))))</f>
        <v>Alto</v>
      </c>
      <c r="M59" s="8" t="str">
        <f>IFERROR(VLOOKUP($L59,'3. Escalas y Criterios'!$A$30:$C$34,3,FALSE),"")</f>
        <v>Semanal (verificación) + inspección formal mensual documentada</v>
      </c>
      <c r="N59" s="8" t="inlineStr">
        <is>
          <t>Entrenamiento trimestral; verificación mensual de cobertura por turno</t>
        </is>
      </c>
      <c r="O59" s="8" t="inlineStr">
        <is>
          <t>Decreto 1072 de 2015 / NFPA 600</t>
        </is>
      </c>
      <c r="P59" s="8" t="inlineStr">
        <is>
          <t>HSE</t>
        </is>
      </c>
      <c r="Q59" s="19" t="n"/>
      <c r="R59" s="16" t="n"/>
      <c r="S59" s="16" t="n"/>
      <c r="T59" s="20" t="n"/>
    </row>
    <row r="60" ht="42" customHeight="1">
      <c r="A60" s="17" t="inlineStr">
        <is>
          <t>F-12</t>
        </is>
      </c>
      <c r="B60" s="24" t="inlineStr">
        <is>
          <t>F. Incendio y protección contra incendio</t>
        </is>
      </c>
      <c r="C60" s="8" t="inlineStr">
        <is>
          <t>Iluminación de emergencia y señalización</t>
        </is>
      </c>
      <c r="D60" s="8" t="inlineStr">
        <is>
          <t>Falta de iluminación en evacuación por corte de energía</t>
        </is>
      </c>
      <c r="E60" s="8" t="inlineStr">
        <is>
          <t>Baterías agotadas; luminarias sin prueba; señalización despintada u obstruida</t>
        </is>
      </c>
      <c r="F60" s="8" t="inlineStr">
        <is>
          <t>Evacuación en oscuridad, caídas y lesiones</t>
        </is>
      </c>
      <c r="G60" s="8" t="inlineStr">
        <is>
          <t>Prueba funcional de luminarias de emergencia y verificación de señalización en toda la ruta</t>
        </is>
      </c>
      <c r="H60" s="8" t="inlineStr">
        <is>
          <t>Registro de prueba mensual y de autonomía anual</t>
        </is>
      </c>
      <c r="I60" s="19" t="n">
        <v>3</v>
      </c>
      <c r="J60" s="19" t="n">
        <v>4</v>
      </c>
      <c r="K60" s="17">
        <f>IF(OR($I60="",$J60=""),"",$I60*$J60)</f>
        <v>12</v>
      </c>
      <c r="L60" s="17" t="str">
        <f>IF($K60="","",IF($K60&gt;=20,"Extremo",IF($K60&gt;=12,"Alto",IF($K60&gt;=6,"Medio",IF($K60&gt;=3,"Bajo","Muy bajo")))))</f>
        <v>Alto</v>
      </c>
      <c r="M60" s="8" t="str">
        <f>IFERROR(VLOOKUP($L60,'3. Escalas y Criterios'!$A$30:$C$34,3,FALSE),"")</f>
        <v>Semanal (verificación) + inspección formal mensual documentada</v>
      </c>
      <c r="N60" s="8" t="inlineStr">
        <is>
          <t>Prueba funcional mensual (30 s); prueba de autonomía anual (90 min)</t>
        </is>
      </c>
      <c r="O60" s="8" t="inlineStr">
        <is>
          <t>NFPA 101 / NTC 1700</t>
        </is>
      </c>
      <c r="P60" s="8" t="inlineStr">
        <is>
          <t>Mantenimiento</t>
        </is>
      </c>
      <c r="Q60" s="19" t="n"/>
      <c r="R60" s="16" t="n"/>
      <c r="S60" s="16" t="n"/>
      <c r="T60" s="20" t="n"/>
    </row>
    <row r="61" ht="42" customHeight="1">
      <c r="A61" s="17" t="inlineStr">
        <is>
          <t>F-13</t>
        </is>
      </c>
      <c r="B61" s="24" t="inlineStr">
        <is>
          <t>F. Incendio y protección contra incendio</t>
        </is>
      </c>
      <c r="C61" s="8" t="inlineStr">
        <is>
          <t>Plan de emergencias y coordinación externa</t>
        </is>
      </c>
      <c r="D61" s="8" t="inlineStr">
        <is>
          <t>Plan desactualizado o sin articulación con bomberos y autoridades</t>
        </is>
      </c>
      <c r="E61" s="8" t="inlineStr">
        <is>
          <t>Cambios de layout o de proceso no reflejados; sin visita de reconocimiento de bomberos; directorio desactualizado</t>
        </is>
      </c>
      <c r="F61" s="8" t="inlineStr">
        <is>
          <t>Respuesta descoordinada; mayor tiempo de control del evento</t>
        </is>
      </c>
      <c r="G61" s="8" t="inlineStr">
        <is>
          <t>Verificar vigencia del plan, análisis de vulnerabilidad, planos actualizados y visita de reconocimiento del cuerpo de bomberos</t>
        </is>
      </c>
      <c r="H61" s="8" t="inlineStr">
        <is>
          <t>Plan de emergencias firmado; acta de visita de bomberos</t>
        </is>
      </c>
      <c r="I61" s="19" t="n">
        <v>3</v>
      </c>
      <c r="J61" s="19" t="n">
        <v>5</v>
      </c>
      <c r="K61" s="17">
        <f>IF(OR($I61="",$J61=""),"",$I61*$J61)</f>
        <v>15</v>
      </c>
      <c r="L61" s="17" t="str">
        <f>IF($K61="","",IF($K61&gt;=20,"Extremo",IF($K61&gt;=12,"Alto",IF($K61&gt;=6,"Medio",IF($K61&gt;=3,"Bajo","Muy bajo")))))</f>
        <v>Alto</v>
      </c>
      <c r="M61" s="8" t="str">
        <f>IFERROR(VLOOKUP($L61,'3. Escalas y Criterios'!$A$30:$C$34,3,FALSE),"")</f>
        <v>Semanal (verificación) + inspección formal mensual documentada</v>
      </c>
      <c r="N61" s="8" t="inlineStr">
        <is>
          <t>Anual (actualización) + ante cambio mayor</t>
        </is>
      </c>
      <c r="O61" s="8" t="inlineStr">
        <is>
          <t>Decreto 1072 de 2015 / NFPA 1600</t>
        </is>
      </c>
      <c r="P61" s="8" t="inlineStr">
        <is>
          <t>HSE</t>
        </is>
      </c>
      <c r="Q61" s="19" t="n"/>
      <c r="R61" s="16" t="n"/>
      <c r="S61" s="16" t="n"/>
      <c r="T61" s="20" t="n"/>
    </row>
    <row r="62" ht="48" customHeight="1">
      <c r="A62" s="17" t="inlineStr">
        <is>
          <t>G-01</t>
        </is>
      </c>
      <c r="B62" s="25" t="inlineStr">
        <is>
          <t>G. Riesgos naturales y del entorno</t>
        </is>
      </c>
      <c r="C62" s="8" t="inlineStr">
        <is>
          <t>Sismo - estructura y estantería</t>
        </is>
      </c>
      <c r="D62" s="8" t="inlineStr">
        <is>
          <t>Colapso estructural o de racks por evento sísmico</t>
        </is>
      </c>
      <c r="E62" s="8" t="inlineStr">
        <is>
          <t>Ubicación en zona de amenaza sísmica alta; diseño sin consideración sísmica; anclajes insuficientes; carga concentrada en niveles altos</t>
        </is>
      </c>
      <c r="F62" s="8" t="inlineStr">
        <is>
          <t>Colapso con víctimas múltiples, pérdida total del inventario e interrupción prolongada</t>
        </is>
      </c>
      <c r="G62" s="8" t="inlineStr">
        <is>
          <t>Verificar zona de amenaza sísmica, memoria de diseño sísmico del edificio y de la estantería, anclajes, arriostramientos y restricciones de carga en niveles superiores</t>
        </is>
      </c>
      <c r="H62" s="8" t="inlineStr">
        <is>
          <t>Estudio de vulnerabilidad sísmica; memoria de cálculo sísmico de racks</t>
        </is>
      </c>
      <c r="I62" s="19" t="n">
        <v>2</v>
      </c>
      <c r="J62" s="19" t="n">
        <v>5</v>
      </c>
      <c r="K62" s="17">
        <f>IF(OR($I62="",$J62=""),"",$I62*$J62)</f>
        <v>10</v>
      </c>
      <c r="L62" s="17" t="str">
        <f>IF($K62="","",IF($K62&gt;=20,"Extremo",IF($K62&gt;=12,"Alto",IF($K62&gt;=6,"Medio",IF($K62&gt;=3,"Bajo","Muy bajo")))))</f>
        <v>Medio</v>
      </c>
      <c r="M62" s="8" t="str">
        <f>IFERROR(VLOOKUP($L62,'3. Escalas y Criterios'!$A$30:$C$34,3,FALSE),"")</f>
        <v>Mensual para elementos operativos; trimestral para elementos estructurales o de instalación</v>
      </c>
      <c r="N62" s="8" t="inlineStr">
        <is>
          <t>Evaluación de vulnerabilidad cada 1-3 años; inspección obligatoria inmediata después de cada sismo sentido</t>
        </is>
      </c>
      <c r="O62" s="8" t="inlineStr">
        <is>
          <t>NSR-10 (Colombia) / ASCE 7 / FEM 10.2.08 / RMI ANSI MH16.1 seismic</t>
        </is>
      </c>
      <c r="P62" s="8" t="inlineStr">
        <is>
          <t>Ingeniería / Gerencia</t>
        </is>
      </c>
      <c r="Q62" s="19" t="n"/>
      <c r="R62" s="16" t="n"/>
      <c r="S62" s="16" t="n"/>
      <c r="T62" s="20" t="n"/>
    </row>
    <row r="63" ht="42" customHeight="1">
      <c r="A63" s="17" t="inlineStr">
        <is>
          <t>G-02</t>
        </is>
      </c>
      <c r="B63" s="25" t="inlineStr">
        <is>
          <t>G. Riesgos naturales y del entorno</t>
        </is>
      </c>
      <c r="C63" s="8" t="inlineStr">
        <is>
          <t>Sismo - retención de carga</t>
        </is>
      </c>
      <c r="D63" s="8" t="inlineStr">
        <is>
          <t>Caída de producto desde los racks durante el sismo</t>
        </is>
      </c>
      <c r="E63" s="8" t="inlineStr">
        <is>
          <t>Ausencia de retenedores, mallas o film adecuado; producto suelto en niveles altos</t>
        </is>
      </c>
      <c r="F63" s="8" t="inlineStr">
        <is>
          <t>Bloqueo de rutas de evacuación, lesiones al personal durante la evacuación</t>
        </is>
      </c>
      <c r="G63" s="8" t="inlineStr">
        <is>
          <t>Verificar dispositivos de retención de carga en niveles superiores y sobre rutas de evacuación</t>
        </is>
      </c>
      <c r="H63" s="8" t="inlineStr">
        <is>
          <t>Estándar de aseguramiento de carga; inspección visual</t>
        </is>
      </c>
      <c r="I63" s="19" t="n">
        <v>3</v>
      </c>
      <c r="J63" s="19" t="n">
        <v>5</v>
      </c>
      <c r="K63" s="17">
        <f>IF(OR($I63="",$J63=""),"",$I63*$J63)</f>
        <v>15</v>
      </c>
      <c r="L63" s="17" t="str">
        <f>IF($K63="","",IF($K63&gt;=20,"Extremo",IF($K63&gt;=12,"Alto",IF($K63&gt;=6,"Medio",IF($K63&gt;=3,"Bajo","Muy bajo")))))</f>
        <v>Alto</v>
      </c>
      <c r="M63" s="8" t="str">
        <f>IFERROR(VLOOKUP($L63,'3. Escalas y Criterios'!$A$30:$C$34,3,FALSE),"")</f>
        <v>Semanal (verificación) + inspección formal mensual documentada</v>
      </c>
      <c r="N63" s="8" t="inlineStr">
        <is>
          <t>Anual + tras cada sismo</t>
        </is>
      </c>
      <c r="O63" s="8" t="inlineStr">
        <is>
          <t>FEM 10.2.08 / buena práctica</t>
        </is>
      </c>
      <c r="P63" s="8" t="inlineStr">
        <is>
          <t>PRRS / HSE</t>
        </is>
      </c>
      <c r="Q63" s="19" t="n"/>
      <c r="R63" s="16" t="n"/>
      <c r="S63" s="16" t="n"/>
      <c r="T63" s="20" t="n"/>
    </row>
    <row r="64" ht="42" customHeight="1">
      <c r="A64" s="17" t="inlineStr">
        <is>
          <t>G-03</t>
        </is>
      </c>
      <c r="B64" s="25" t="inlineStr">
        <is>
          <t>G. Riesgos naturales y del entorno</t>
        </is>
      </c>
      <c r="C64" s="8" t="inlineStr">
        <is>
          <t>Protocolo post-evento</t>
        </is>
      </c>
      <c r="D64" s="8" t="inlineStr">
        <is>
          <t>Reanudación de la operación sin inspección tras un evento (sismo, inundación, incendio, impacto mayor)</t>
        </is>
      </c>
      <c r="E64" s="8" t="inlineStr">
        <is>
          <t>Presión por continuidad del servicio; ausencia de protocolo escrito</t>
        </is>
      </c>
      <c r="F64" s="8" t="inlineStr">
        <is>
          <t>Colapso diferido sobre personal que reingresa; agravamiento de daños</t>
        </is>
      </c>
      <c r="G64" s="8" t="inlineStr">
        <is>
          <t>Verificar que existe protocolo de suspensión e inspección obligatoria post-evento con criterios de reingreso</t>
        </is>
      </c>
      <c r="H64" s="8" t="inlineStr">
        <is>
          <t>Procedimiento post-evento; formato de inspección rápida</t>
        </is>
      </c>
      <c r="I64" s="19" t="n">
        <v>3</v>
      </c>
      <c r="J64" s="19" t="n">
        <v>5</v>
      </c>
      <c r="K64" s="17">
        <f>IF(OR($I64="",$J64=""),"",$I64*$J64)</f>
        <v>15</v>
      </c>
      <c r="L64" s="17" t="str">
        <f>IF($K64="","",IF($K64&gt;=20,"Extremo",IF($K64&gt;=12,"Alto",IF($K64&gt;=6,"Medio",IF($K64&gt;=3,"Bajo","Muy bajo")))))</f>
        <v>Alto</v>
      </c>
      <c r="M64" s="8" t="str">
        <f>IFERROR(VLOOKUP($L64,'3. Escalas y Criterios'!$A$30:$C$34,3,FALSE),"")</f>
        <v>Semanal (verificación) + inspección formal mensual documentada</v>
      </c>
      <c r="N64" s="8" t="inlineStr">
        <is>
          <t>Inmediatamente después de cada evento (revisión del protocolo: anual)</t>
        </is>
      </c>
      <c r="O64" s="8" t="inlineStr">
        <is>
          <t>EN 15635 / NSR-10</t>
        </is>
      </c>
      <c r="P64" s="8" t="inlineStr">
        <is>
          <t>Jefe de CEDI / Ingeniería</t>
        </is>
      </c>
      <c r="Q64" s="19" t="n"/>
      <c r="R64" s="16" t="n"/>
      <c r="S64" s="16" t="n"/>
      <c r="T64" s="20" t="n"/>
    </row>
    <row r="65" ht="48" customHeight="1">
      <c r="A65" s="17" t="inlineStr">
        <is>
          <t>G-04</t>
        </is>
      </c>
      <c r="B65" s="25" t="inlineStr">
        <is>
          <t>G. Riesgos naturales y del entorno</t>
        </is>
      </c>
      <c r="C65" s="8" t="inlineStr">
        <is>
          <t>Inundación</t>
        </is>
      </c>
      <c r="D65" s="8" t="inlineStr">
        <is>
          <t>Inundación de la bodega por lluvia extrema, desbordamiento o falla del alcantarillado</t>
        </is>
      </c>
      <c r="E65" s="8" t="inlineStr">
        <is>
          <t>Ubicación en zona inundable; nivel de piso bajo respecto a la vía; drenajes de patio insuficientes; reflujo del alcantarillado</t>
        </is>
      </c>
      <c r="F65" s="8" t="inlineStr">
        <is>
          <t>Pérdida de producto almacenado en piso, daño de equipos eléctricos, contaminación, paro prolongado</t>
        </is>
      </c>
      <c r="G65" s="8" t="inlineStr">
        <is>
          <t>Verificar mapa de amenaza por inundación, nivel de piso, capacidad de drenaje, válvulas antirreflujo, barreras y prohibición de almacenar en piso producto sensible</t>
        </is>
      </c>
      <c r="H65" s="8" t="inlineStr">
        <is>
          <t>Mapa de amenaza (POT/entidad ambiental); plan de temporada invernal</t>
        </is>
      </c>
      <c r="I65" s="19" t="n">
        <v>3</v>
      </c>
      <c r="J65" s="19" t="n">
        <v>5</v>
      </c>
      <c r="K65" s="17">
        <f>IF(OR($I65="",$J65=""),"",$I65*$J65)</f>
        <v>15</v>
      </c>
      <c r="L65" s="17" t="str">
        <f>IF($K65="","",IF($K65&gt;=20,"Extremo",IF($K65&gt;=12,"Alto",IF($K65&gt;=6,"Medio",IF($K65&gt;=3,"Bajo","Muy bajo")))))</f>
        <v>Alto</v>
      </c>
      <c r="M65" s="8" t="str">
        <f>IFERROR(VLOOKUP($L65,'3. Escalas y Criterios'!$A$30:$C$34,3,FALSE),"")</f>
        <v>Semanal (verificación) + inspección formal mensual documentada</v>
      </c>
      <c r="N65" s="8" t="inlineStr">
        <is>
          <t>Revisión semestral y obligatoria antes de temporada de lluvias</t>
        </is>
      </c>
      <c r="O65" s="8" t="inlineStr">
        <is>
          <t>Estudio hidrológico local / POT</t>
        </is>
      </c>
      <c r="P65" s="8" t="inlineStr">
        <is>
          <t>Mantenimiento / HSE</t>
        </is>
      </c>
      <c r="Q65" s="19" t="n"/>
      <c r="R65" s="16" t="n"/>
      <c r="S65" s="16" t="n"/>
      <c r="T65" s="20" t="n"/>
    </row>
    <row r="66" ht="42" customHeight="1">
      <c r="A66" s="17" t="inlineStr">
        <is>
          <t>G-05</t>
        </is>
      </c>
      <c r="B66" s="25" t="inlineStr">
        <is>
          <t>G. Riesgos naturales y del entorno</t>
        </is>
      </c>
      <c r="C66" s="8" t="inlineStr">
        <is>
          <t>Vientos fuertes, huracán o vendaval</t>
        </is>
      </c>
      <c r="D66" s="8" t="inlineStr">
        <is>
          <t>Desprendimiento de cubierta o de elementos por viento extremo</t>
        </is>
      </c>
      <c r="E66" s="8" t="inlineStr">
        <is>
          <t>Fijaciones deterioradas; elementos sueltos en cubierta y patio; diseño para velocidad de viento inferior a la actual</t>
        </is>
      </c>
      <c r="F66" s="8" t="inlineStr">
        <is>
          <t>Pérdida de cubierta, entrada masiva de agua, proyectiles</t>
        </is>
      </c>
      <c r="G66" s="8" t="inlineStr">
        <is>
          <t>Verificar fijaciones de cubierta, anclaje de equipos y estructuras livianas, y retiro de elementos sueltos ante alerta</t>
        </is>
      </c>
      <c r="H66" s="8" t="inlineStr">
        <is>
          <t>Inspección de cubierta; protocolo de alerta meteorológica</t>
        </is>
      </c>
      <c r="I66" s="19" t="n">
        <v>2</v>
      </c>
      <c r="J66" s="19" t="n">
        <v>5</v>
      </c>
      <c r="K66" s="17">
        <f>IF(OR($I66="",$J66=""),"",$I66*$J66)</f>
        <v>10</v>
      </c>
      <c r="L66" s="17" t="str">
        <f>IF($K66="","",IF($K66&gt;=20,"Extremo",IF($K66&gt;=12,"Alto",IF($K66&gt;=6,"Medio",IF($K66&gt;=3,"Bajo","Muy bajo")))))</f>
        <v>Medio</v>
      </c>
      <c r="M66" s="8" t="str">
        <f>IFERROR(VLOOKUP($L66,'3. Escalas y Criterios'!$A$30:$C$34,3,FALSE),"")</f>
        <v>Mensual para elementos operativos; trimestral para elementos estructurales o de instalación</v>
      </c>
      <c r="N66" s="8" t="inlineStr">
        <is>
          <t>Semestral y antes de temporada de vientos</t>
        </is>
      </c>
      <c r="O66" s="8" t="inlineStr">
        <is>
          <t>ASCE 7 / NSR-10 título B</t>
        </is>
      </c>
      <c r="P66" s="8" t="inlineStr">
        <is>
          <t>Mantenimiento</t>
        </is>
      </c>
      <c r="Q66" s="19" t="n"/>
      <c r="R66" s="16" t="n"/>
      <c r="S66" s="16" t="n"/>
      <c r="T66" s="20" t="n"/>
    </row>
    <row r="67" ht="42" customHeight="1">
      <c r="A67" s="17" t="inlineStr">
        <is>
          <t>G-06</t>
        </is>
      </c>
      <c r="B67" s="25" t="inlineStr">
        <is>
          <t>G. Riesgos naturales y del entorno</t>
        </is>
      </c>
      <c r="C67" s="8" t="inlineStr">
        <is>
          <t>Granizo o sobrecarga en cubierta</t>
        </is>
      </c>
      <c r="D67" s="8" t="inlineStr">
        <is>
          <t>Sobrecarga de cubierta por granizo, agua empozada o nieve</t>
        </is>
      </c>
      <c r="E67" s="8" t="inlineStr">
        <is>
          <t>Drenajes insuficientes u obstruidos; cubierta con baja pendiente</t>
        </is>
      </c>
      <c r="F67" s="8" t="inlineStr">
        <is>
          <t>Colapso local o total de la cubierta</t>
        </is>
      </c>
      <c r="G67" s="8" t="inlineStr">
        <is>
          <t>Verificar capacidad de drenaje, drenajes de emergencia (overflow) y limpieza de canales</t>
        </is>
      </c>
      <c r="H67" s="8" t="inlineStr">
        <is>
          <t>Diseño de drenaje; registro de limpieza</t>
        </is>
      </c>
      <c r="I67" s="19" t="n">
        <v>2</v>
      </c>
      <c r="J67" s="19" t="n">
        <v>4</v>
      </c>
      <c r="K67" s="17">
        <f>IF(OR($I67="",$J67=""),"",$I67*$J67)</f>
        <v>8</v>
      </c>
      <c r="L67" s="17" t="str">
        <f>IF($K67="","",IF($K67&gt;=20,"Extremo",IF($K67&gt;=12,"Alto",IF($K67&gt;=6,"Medio",IF($K67&gt;=3,"Bajo","Muy bajo")))))</f>
        <v>Medio</v>
      </c>
      <c r="M67" s="8" t="str">
        <f>IFERROR(VLOOKUP($L67,'3. Escalas y Criterios'!$A$30:$C$34,3,FALSE),"")</f>
        <v>Mensual para elementos operativos; trimestral para elementos estructurales o de instalación</v>
      </c>
      <c r="N67" s="8" t="inlineStr">
        <is>
          <t>Semestral + antes de temporada</t>
        </is>
      </c>
      <c r="O67" s="8" t="inlineStr">
        <is>
          <t>NSR-10 / FM Global DS 1-54</t>
        </is>
      </c>
      <c r="P67" s="8" t="inlineStr">
        <is>
          <t>Mantenimiento</t>
        </is>
      </c>
      <c r="Q67" s="19" t="n"/>
      <c r="R67" s="16" t="n"/>
      <c r="S67" s="16" t="n"/>
      <c r="T67" s="20" t="n"/>
    </row>
    <row r="68" ht="42" customHeight="1">
      <c r="A68" s="17" t="inlineStr">
        <is>
          <t>G-07</t>
        </is>
      </c>
      <c r="B68" s="25" t="inlineStr">
        <is>
          <t>G. Riesgos naturales y del entorno</t>
        </is>
      </c>
      <c r="C68" s="8" t="inlineStr">
        <is>
          <t>Descargas atmosféricas</t>
        </is>
      </c>
      <c r="D68" s="8" t="inlineStr">
        <is>
          <t>Daño por rayo en equipos, sistemas o incendio</t>
        </is>
      </c>
      <c r="E68" s="8" t="inlineStr">
        <is>
          <t>Ausencia o deterioro del sistema de protección contra rayos; falta de DPS en tableros; puestas a tierra en mal estado</t>
        </is>
      </c>
      <c r="F68" s="8" t="inlineStr">
        <is>
          <t>Incendio, pérdida de servidores y del WMS, paro operativo</t>
        </is>
      </c>
      <c r="G68" s="8" t="inlineStr">
        <is>
          <t>Verificar sistema de protección contra rayos, medición de resistencia de puesta a tierra y estado de los DPS</t>
        </is>
      </c>
      <c r="H68" s="8" t="inlineStr">
        <is>
          <t>Certificado RETIE; medición de resistencia de tierra</t>
        </is>
      </c>
      <c r="I68" s="19" t="n">
        <v>2</v>
      </c>
      <c r="J68" s="19" t="n">
        <v>4</v>
      </c>
      <c r="K68" s="17">
        <f>IF(OR($I68="",$J68=""),"",$I68*$J68)</f>
        <v>8</v>
      </c>
      <c r="L68" s="17" t="str">
        <f>IF($K68="","",IF($K68&gt;=20,"Extremo",IF($K68&gt;=12,"Alto",IF($K68&gt;=6,"Medio",IF($K68&gt;=3,"Bajo","Muy bajo")))))</f>
        <v>Medio</v>
      </c>
      <c r="M68" s="8" t="str">
        <f>IFERROR(VLOOKUP($L68,'3. Escalas y Criterios'!$A$30:$C$34,3,FALSE),"")</f>
        <v>Mensual para elementos operativos; trimestral para elementos estructurales o de instalación</v>
      </c>
      <c r="N68" s="8" t="inlineStr">
        <is>
          <t>Anual</t>
        </is>
      </c>
      <c r="O68" s="8" t="inlineStr">
        <is>
          <t>RETIE / NTC 4552 / NFPA 780</t>
        </is>
      </c>
      <c r="P68" s="8" t="inlineStr">
        <is>
          <t>Mantenimiento</t>
        </is>
      </c>
      <c r="Q68" s="19" t="n"/>
      <c r="R68" s="16" t="n"/>
      <c r="S68" s="16" t="n"/>
      <c r="T68" s="20" t="n"/>
    </row>
    <row r="69" ht="42" customHeight="1">
      <c r="A69" s="17" t="inlineStr">
        <is>
          <t>G-08</t>
        </is>
      </c>
      <c r="B69" s="25" t="inlineStr">
        <is>
          <t>G. Riesgos naturales y del entorno</t>
        </is>
      </c>
      <c r="C69" s="8" t="inlineStr">
        <is>
          <t>Entorno inmediato</t>
        </is>
      </c>
      <c r="D69" s="8" t="inlineStr">
        <is>
          <t>Siniestro originado en un vecino o en el entorno (incendio, explosión, fuga química)</t>
        </is>
      </c>
      <c r="E69" s="8" t="inlineStr">
        <is>
          <t>Colindancia con industria peligrosa, depósito de combustible, poliducto o zona de invasión</t>
        </is>
      </c>
      <c r="F69" s="8" t="inlineStr">
        <is>
          <t>Propagación del siniestro, evacuación forzada, interrupción</t>
        </is>
      </c>
      <c r="G69" s="8" t="inlineStr">
        <is>
          <t>Caracterizar los ocupantes colindantes en un radio definido, distancias de separación y planes de ayuda mutua</t>
        </is>
      </c>
      <c r="H69" s="8" t="inlineStr">
        <is>
          <t>Estudio del entorno; convenio de ayuda mutua</t>
        </is>
      </c>
      <c r="I69" s="19" t="n">
        <v>2</v>
      </c>
      <c r="J69" s="19" t="n">
        <v>4</v>
      </c>
      <c r="K69" s="17">
        <f>IF(OR($I69="",$J69=""),"",$I69*$J69)</f>
        <v>8</v>
      </c>
      <c r="L69" s="17" t="str">
        <f>IF($K69="","",IF($K69&gt;=20,"Extremo",IF($K69&gt;=12,"Alto",IF($K69&gt;=6,"Medio",IF($K69&gt;=3,"Bajo","Muy bajo")))))</f>
        <v>Medio</v>
      </c>
      <c r="M69" s="8" t="str">
        <f>IFERROR(VLOOKUP($L69,'3. Escalas y Criterios'!$A$30:$C$34,3,FALSE),"")</f>
        <v>Mensual para elementos operativos; trimestral para elementos estructurales o de instalación</v>
      </c>
      <c r="N69" s="8" t="inlineStr">
        <is>
          <t>Anual</t>
        </is>
      </c>
      <c r="O69" s="8" t="inlineStr">
        <is>
          <t>Análisis de riesgo del entorno</t>
        </is>
      </c>
      <c r="P69" s="8" t="inlineStr">
        <is>
          <t>HSE / Gerencia</t>
        </is>
      </c>
      <c r="Q69" s="19" t="n"/>
      <c r="R69" s="16" t="n"/>
      <c r="S69" s="16" t="n"/>
      <c r="T69" s="20" t="n"/>
    </row>
    <row r="70" ht="48" customHeight="1">
      <c r="A70" s="17" t="inlineStr">
        <is>
          <t>G-09</t>
        </is>
      </c>
      <c r="B70" s="25" t="inlineStr">
        <is>
          <t>G. Riesgos naturales y del entorno</t>
        </is>
      </c>
      <c r="C70" s="8" t="inlineStr">
        <is>
          <t>Accesibilidad de bomberos</t>
        </is>
      </c>
      <c r="D70" s="8" t="inlineStr">
        <is>
          <t>Respuesta externa tardía o insuficiente</t>
        </is>
      </c>
      <c r="E70" s="8" t="inlineStr">
        <is>
          <t>Distancia a la estación de bomberos; vías congestionadas; ausencia de hidrantes públicos cercanos; acceso perimetral bloqueado por vehículos</t>
        </is>
      </c>
      <c r="F70" s="8" t="inlineStr">
        <is>
          <t>Control tardío del incendio y pérdida total</t>
        </is>
      </c>
      <c r="G70" s="8" t="inlineStr">
        <is>
          <t>Verificar tiempo de respuesta real, caudal y ubicación de hidrantes públicos, y vía perimetral libre para máquina de bomberos</t>
        </is>
      </c>
      <c r="H70" s="8" t="inlineStr">
        <is>
          <t>Acta de visita de bomberos; medición de caudal de hidrante</t>
        </is>
      </c>
      <c r="I70" s="19" t="n">
        <v>3</v>
      </c>
      <c r="J70" s="19" t="n">
        <v>5</v>
      </c>
      <c r="K70" s="17">
        <f>IF(OR($I70="",$J70=""),"",$I70*$J70)</f>
        <v>15</v>
      </c>
      <c r="L70" s="17" t="str">
        <f>IF($K70="","",IF($K70&gt;=20,"Extremo",IF($K70&gt;=12,"Alto",IF($K70&gt;=6,"Medio",IF($K70&gt;=3,"Bajo","Muy bajo")))))</f>
        <v>Alto</v>
      </c>
      <c r="M70" s="8" t="str">
        <f>IFERROR(VLOOKUP($L70,'3. Escalas y Criterios'!$A$30:$C$34,3,FALSE),"")</f>
        <v>Semanal (verificación) + inspección formal mensual documentada</v>
      </c>
      <c r="N70" s="8" t="inlineStr">
        <is>
          <t>Anual</t>
        </is>
      </c>
      <c r="O70" s="8" t="inlineStr">
        <is>
          <t>NFPA 1 / NFPA 1142</t>
        </is>
      </c>
      <c r="P70" s="8" t="inlineStr">
        <is>
          <t>HSE</t>
        </is>
      </c>
      <c r="Q70" s="19" t="n"/>
      <c r="R70" s="16" t="n"/>
      <c r="S70" s="16" t="n"/>
      <c r="T70" s="20" t="n"/>
    </row>
    <row r="71" ht="42" customHeight="1">
      <c r="A71" s="17" t="inlineStr">
        <is>
          <t>H-01</t>
        </is>
      </c>
      <c r="B71" s="26" t="inlineStr">
        <is>
          <t>H. Eléctrico y servicios industriales</t>
        </is>
      </c>
      <c r="C71" s="8" t="inlineStr">
        <is>
          <t>Tableros y acometidas eléctricas</t>
        </is>
      </c>
      <c r="D71" s="8" t="inlineStr">
        <is>
          <t>Sobrecalentamiento o cortocircuito en tableros</t>
        </is>
      </c>
      <c r="E71" s="8" t="inlineStr">
        <is>
          <t>Conexiones flojas; sobrecarga de circuitos; ausencia de termografía; tableros sin cerrar ni señalizar; polvo</t>
        </is>
      </c>
      <c r="F71" s="8" t="inlineStr">
        <is>
          <t>Incendio de origen eléctrico, paro total de la operación</t>
        </is>
      </c>
      <c r="G71" s="8" t="inlineStr">
        <is>
          <t>Realizar termografía con carga, verificar rotulado, ausencia de obstrucciones (espacio libre 1 m) y estado de protecciones</t>
        </is>
      </c>
      <c r="H71" s="8" t="inlineStr">
        <is>
          <t>Informe de termografía con clasificación de anomalías; plan de corrección</t>
        </is>
      </c>
      <c r="I71" s="19" t="n">
        <v>3</v>
      </c>
      <c r="J71" s="19" t="n">
        <v>5</v>
      </c>
      <c r="K71" s="17">
        <f>IF(OR($I71="",$J71=""),"",$I71*$J71)</f>
        <v>15</v>
      </c>
      <c r="L71" s="17" t="str">
        <f>IF($K71="","",IF($K71&gt;=20,"Extremo",IF($K71&gt;=12,"Alto",IF($K71&gt;=6,"Medio",IF($K71&gt;=3,"Bajo","Muy bajo")))))</f>
        <v>Alto</v>
      </c>
      <c r="M71" s="8" t="str">
        <f>IFERROR(VLOOKUP($L71,'3. Escalas y Criterios'!$A$30:$C$34,3,FALSE),"")</f>
        <v>Semanal (verificación) + inspección formal mensual documentada</v>
      </c>
      <c r="N71" s="8" t="inlineStr">
        <is>
          <t>Termografía anual (semestral en tableros críticos); inspección visual trimestral</t>
        </is>
      </c>
      <c r="O71" s="8" t="inlineStr">
        <is>
          <t>RETIE / NFPA 70B / NETA</t>
        </is>
      </c>
      <c r="P71" s="8" t="inlineStr">
        <is>
          <t>Mantenimiento</t>
        </is>
      </c>
      <c r="Q71" s="19" t="n"/>
      <c r="R71" s="16" t="n"/>
      <c r="S71" s="16" t="n"/>
      <c r="T71" s="20" t="n"/>
    </row>
    <row r="72" ht="42" customHeight="1">
      <c r="A72" s="17" t="inlineStr">
        <is>
          <t>H-02</t>
        </is>
      </c>
      <c r="B72" s="26" t="inlineStr">
        <is>
          <t>H. Eléctrico y servicios industriales</t>
        </is>
      </c>
      <c r="C72" s="8" t="inlineStr">
        <is>
          <t>Subestación y transformadores</t>
        </is>
      </c>
      <c r="D72" s="8" t="inlineStr">
        <is>
          <t>Falla de la subestación o del transformador</t>
        </is>
      </c>
      <c r="E72" s="8" t="inlineStr">
        <is>
          <t>Mantenimiento vencido; fuga de aceite; sobrecarga; ausencia de protección contra incendio en el cuarto</t>
        </is>
      </c>
      <c r="F72" s="8" t="inlineStr">
        <is>
          <t>Paro total prolongado, incendio, daño ambiental por aceite</t>
        </is>
      </c>
      <c r="G72" s="8" t="inlineStr">
        <is>
          <t>Verificar mantenimiento predictivo (análisis de aceite), señalización, control de acceso, dique de contención y extinción</t>
        </is>
      </c>
      <c r="H72" s="8" t="inlineStr">
        <is>
          <t>Análisis de aceite dieléctrico; certificado RETIE</t>
        </is>
      </c>
      <c r="I72" s="19" t="n">
        <v>2</v>
      </c>
      <c r="J72" s="19" t="n">
        <v>5</v>
      </c>
      <c r="K72" s="17">
        <f>IF(OR($I72="",$J72=""),"",$I72*$J72)</f>
        <v>10</v>
      </c>
      <c r="L72" s="17" t="str">
        <f>IF($K72="","",IF($K72&gt;=20,"Extremo",IF($K72&gt;=12,"Alto",IF($K72&gt;=6,"Medio",IF($K72&gt;=3,"Bajo","Muy bajo")))))</f>
        <v>Medio</v>
      </c>
      <c r="M72" s="8" t="str">
        <f>IFERROR(VLOOKUP($L72,'3. Escalas y Criterios'!$A$30:$C$34,3,FALSE),"")</f>
        <v>Mensual para elementos operativos; trimestral para elementos estructurales o de instalación</v>
      </c>
      <c r="N72" s="8" t="inlineStr">
        <is>
          <t>Anual</t>
        </is>
      </c>
      <c r="O72" s="8" t="inlineStr">
        <is>
          <t>RETIE / IEEE C57</t>
        </is>
      </c>
      <c r="P72" s="8" t="inlineStr">
        <is>
          <t>Mantenimiento</t>
        </is>
      </c>
      <c r="Q72" s="19" t="n"/>
      <c r="R72" s="16" t="n"/>
      <c r="S72" s="16" t="n"/>
      <c r="T72" s="20" t="n"/>
    </row>
    <row r="73" ht="48" customHeight="1">
      <c r="A73" s="17" t="inlineStr">
        <is>
          <t>H-03</t>
        </is>
      </c>
      <c r="B73" s="26" t="inlineStr">
        <is>
          <t>H. Eléctrico y servicios industriales</t>
        </is>
      </c>
      <c r="C73" s="8" t="inlineStr">
        <is>
          <t>Respaldo de energía (planta / UPS)</t>
        </is>
      </c>
      <c r="D73" s="8" t="inlineStr">
        <is>
          <t>Falta de respaldo ante corte de energía</t>
        </is>
      </c>
      <c r="E73" s="8" t="inlineStr">
        <is>
          <t>Planta sin prueba con carga; combustible insuficiente; UPS con baterías agotadas; alcance del respaldo no cubre sistemas críticos</t>
        </is>
      </c>
      <c r="F73" s="8" t="inlineStr">
        <is>
          <t>Pérdida del WMS, del cuarto frío, del CCTV y del control de acceso; paro operativo y pérdida de producto</t>
        </is>
      </c>
      <c r="G73" s="8" t="inlineStr">
        <is>
          <t>Verificar prueba periódica con carga, autonomía declarada, nivel de combustible y cobertura de los circuitos críticos</t>
        </is>
      </c>
      <c r="H73" s="8" t="inlineStr">
        <is>
          <t>Registro de pruebas de planta; inventario de circuitos respaldados</t>
        </is>
      </c>
      <c r="I73" s="19" t="n">
        <v>3</v>
      </c>
      <c r="J73" s="19" t="n">
        <v>4</v>
      </c>
      <c r="K73" s="17">
        <f>IF(OR($I73="",$J73=""),"",$I73*$J73)</f>
        <v>12</v>
      </c>
      <c r="L73" s="17" t="str">
        <f>IF($K73="","",IF($K73&gt;=20,"Extremo",IF($K73&gt;=12,"Alto",IF($K73&gt;=6,"Medio",IF($K73&gt;=3,"Bajo","Muy bajo")))))</f>
        <v>Alto</v>
      </c>
      <c r="M73" s="8" t="str">
        <f>IFERROR(VLOOKUP($L73,'3. Escalas y Criterios'!$A$30:$C$34,3,FALSE),"")</f>
        <v>Semanal (verificación) + inspección formal mensual documentada</v>
      </c>
      <c r="N73" s="8" t="inlineStr">
        <is>
          <t>Prueba mensual con carga; mantenimiento semestral</t>
        </is>
      </c>
      <c r="O73" s="8" t="inlineStr">
        <is>
          <t>NFPA 110</t>
        </is>
      </c>
      <c r="P73" s="8" t="inlineStr">
        <is>
          <t>Mantenimiento / TI</t>
        </is>
      </c>
      <c r="Q73" s="19" t="n"/>
      <c r="R73" s="16" t="n"/>
      <c r="S73" s="16" t="n"/>
      <c r="T73" s="20" t="n"/>
    </row>
    <row r="74" ht="42" customHeight="1">
      <c r="A74" s="17" t="inlineStr">
        <is>
          <t>H-04</t>
        </is>
      </c>
      <c r="B74" s="26" t="inlineStr">
        <is>
          <t>H. Eléctrico y servicios industriales</t>
        </is>
      </c>
      <c r="C74" s="8" t="inlineStr">
        <is>
          <t>Refrigeración industrial</t>
        </is>
      </c>
      <c r="D74" s="8" t="inlineStr">
        <is>
          <t>Fuga de refrigerante (amoníaco / freón) o falla del sistema de frío</t>
        </is>
      </c>
      <c r="E74" s="8" t="inlineStr">
        <is>
          <t>Mantenimiento deficiente; corrosión; falta de detección de gas; sin redundancia de compresores</t>
        </is>
      </c>
      <c r="F74" s="8" t="inlineStr">
        <is>
          <t>Intoxicación del personal, evacuación, pérdida total del inventario refrigerado</t>
        </is>
      </c>
      <c r="G74" s="8" t="inlineStr">
        <is>
          <t>Verificar detección de gas, ventilación de emergencia, plan de respuesta a fuga, redundancia y mantenimiento del sistema</t>
        </is>
      </c>
      <c r="H74" s="8" t="inlineStr">
        <is>
          <t>Plan de gestión de riesgo de amoníaco; registro de calibración de sensores</t>
        </is>
      </c>
      <c r="I74" s="19" t="n">
        <v>2</v>
      </c>
      <c r="J74" s="19" t="n">
        <v>5</v>
      </c>
      <c r="K74" s="17">
        <f>IF(OR($I74="",$J74=""),"",$I74*$J74)</f>
        <v>10</v>
      </c>
      <c r="L74" s="17" t="str">
        <f>IF($K74="","",IF($K74&gt;=20,"Extremo",IF($K74&gt;=12,"Alto",IF($K74&gt;=6,"Medio",IF($K74&gt;=3,"Bajo","Muy bajo")))))</f>
        <v>Medio</v>
      </c>
      <c r="M74" s="8" t="str">
        <f>IFERROR(VLOOKUP($L74,'3. Escalas y Criterios'!$A$30:$C$34,3,FALSE),"")</f>
        <v>Mensual para elementos operativos; trimestral para elementos estructurales o de instalación</v>
      </c>
      <c r="N74" s="8" t="inlineStr">
        <is>
          <t>Mensual</t>
        </is>
      </c>
      <c r="O74" s="8" t="inlineStr">
        <is>
          <t>IIAR / ASHRAE 15 / OSHA PSM</t>
        </is>
      </c>
      <c r="P74" s="8" t="inlineStr">
        <is>
          <t>Mantenimiento / HSE</t>
        </is>
      </c>
      <c r="Q74" s="19" t="n"/>
      <c r="R74" s="16" t="n"/>
      <c r="S74" s="16" t="n"/>
      <c r="T74" s="20" t="n"/>
    </row>
    <row r="75" ht="42" customHeight="1">
      <c r="A75" s="17" t="inlineStr">
        <is>
          <t>H-05</t>
        </is>
      </c>
      <c r="B75" s="26" t="inlineStr">
        <is>
          <t>H. Eléctrico y servicios industriales</t>
        </is>
      </c>
      <c r="C75" s="8" t="inlineStr">
        <is>
          <t>Aire comprimido y otros servicios</t>
        </is>
      </c>
      <c r="D75" s="8" t="inlineStr">
        <is>
          <t>Interrupción de servicios auxiliares críticos</t>
        </is>
      </c>
      <c r="E75" s="8" t="inlineStr">
        <is>
          <t>Falla de compresores; ausencia de mantenimiento; agua no potable</t>
        </is>
      </c>
      <c r="F75" s="8" t="inlineStr">
        <is>
          <t>Paro de equipos automatizados, condiciones sanitarias deficientes</t>
        </is>
      </c>
      <c r="G75" s="8" t="inlineStr">
        <is>
          <t>Verificar mantenimiento y redundancia de servicios auxiliares críticos identificados</t>
        </is>
      </c>
      <c r="H75" s="8" t="inlineStr">
        <is>
          <t>Plan de mantenimiento; matriz de criticidad de equipos</t>
        </is>
      </c>
      <c r="I75" s="19" t="n">
        <v>2</v>
      </c>
      <c r="J75" s="19" t="n">
        <v>3</v>
      </c>
      <c r="K75" s="17">
        <f>IF(OR($I75="",$J75=""),"",$I75*$J75)</f>
        <v>6</v>
      </c>
      <c r="L75" s="17" t="str">
        <f>IF($K75="","",IF($K75&gt;=20,"Extremo",IF($K75&gt;=12,"Alto",IF($K75&gt;=6,"Medio",IF($K75&gt;=3,"Bajo","Muy bajo")))))</f>
        <v>Medio</v>
      </c>
      <c r="M75" s="8" t="str">
        <f>IFERROR(VLOOKUP($L75,'3. Escalas y Criterios'!$A$30:$C$34,3,FALSE),"")</f>
        <v>Mensual para elementos operativos; trimestral para elementos estructurales o de instalación</v>
      </c>
      <c r="N75" s="8" t="inlineStr">
        <is>
          <t>Trimestral</t>
        </is>
      </c>
      <c r="O75" s="8" t="inlineStr">
        <is>
          <t>Buena práctica</t>
        </is>
      </c>
      <c r="P75" s="8" t="inlineStr">
        <is>
          <t>Mantenimiento</t>
        </is>
      </c>
      <c r="Q75" s="19" t="n"/>
      <c r="R75" s="16" t="n"/>
      <c r="S75" s="16" t="n"/>
      <c r="T75" s="20" t="n"/>
    </row>
    <row r="76" ht="48" customHeight="1">
      <c r="A76" s="17" t="inlineStr">
        <is>
          <t>I-01</t>
        </is>
      </c>
      <c r="B76" s="27" t="inlineStr">
        <is>
          <t>I. Seguridad física y protección de la carga</t>
        </is>
      </c>
      <c r="C76" s="8" t="inlineStr">
        <is>
          <t>Hurto interno / pérdida desconocida</t>
        </is>
      </c>
      <c r="D76" s="8" t="inlineStr">
        <is>
          <t>Sustracción de mercancía por personal propio o en colusión con terceros</t>
        </is>
      </c>
      <c r="E76" s="8" t="inlineStr">
        <is>
          <t>Controles débiles de salida; puntos ciegos de CCTV; ausencia de segregación de funciones; producto de alto valor sin jaula</t>
        </is>
      </c>
      <c r="F76" s="8" t="inlineStr">
        <is>
          <t>Pérdida económica recurrente, pérdida desconocida elevada, deterioro del clima laboral</t>
        </is>
      </c>
      <c r="G76" s="8" t="inlineStr">
        <is>
          <t>Verificar conteos cíclicos, control de salida de personal y vehículos, jaula de alto valor, segregación de funciones y análisis de ajustes de inventario</t>
        </is>
      </c>
      <c r="H76" s="8" t="inlineStr">
        <is>
          <t>Indicador de pérdida desconocida; reporte de conteos cíclicos; investigaciones</t>
        </is>
      </c>
      <c r="I76" s="19" t="n">
        <v>4</v>
      </c>
      <c r="J76" s="19" t="n">
        <v>4</v>
      </c>
      <c r="K76" s="17">
        <f>IF(OR($I76="",$J76=""),"",$I76*$J76)</f>
        <v>16</v>
      </c>
      <c r="L76" s="17" t="str">
        <f>IF($K76="","",IF($K76&gt;=20,"Extremo",IF($K76&gt;=12,"Alto",IF($K76&gt;=6,"Medio",IF($K76&gt;=3,"Bajo","Muy bajo")))))</f>
        <v>Alto</v>
      </c>
      <c r="M76" s="8" t="str">
        <f>IFERROR(VLOOKUP($L76,'3. Escalas y Criterios'!$A$30:$C$34,3,FALSE),"")</f>
        <v>Semanal (verificación) + inspección formal mensual documentada</v>
      </c>
      <c r="N76" s="8" t="inlineStr">
        <is>
          <t>Conteos cíclicos diarios/semanales; auditoría de seguridad trimestral</t>
        </is>
      </c>
      <c r="O76" s="8" t="inlineStr">
        <is>
          <t>ISO 28000 / BASC</t>
        </is>
      </c>
      <c r="P76" s="8" t="inlineStr">
        <is>
          <t>Seguridad Física / Control de Inventarios</t>
        </is>
      </c>
      <c r="Q76" s="19" t="n"/>
      <c r="R76" s="16" t="n"/>
      <c r="S76" s="16" t="n"/>
      <c r="T76" s="20" t="n"/>
    </row>
    <row r="77" ht="42" customHeight="1">
      <c r="A77" s="17" t="inlineStr">
        <is>
          <t>I-02</t>
        </is>
      </c>
      <c r="B77" s="27" t="inlineStr">
        <is>
          <t>I. Seguridad física y protección de la carga</t>
        </is>
      </c>
      <c r="C77" s="8" t="inlineStr">
        <is>
          <t>Asalto o robo con violencia</t>
        </is>
      </c>
      <c r="D77" s="8" t="inlineStr">
        <is>
          <t>Robo a mano armada en la instalación o en el patio</t>
        </is>
      </c>
      <c r="E77" s="8" t="inlineStr">
        <is>
          <t>Zona de alta criminalidad; control de acceso débil; horarios predecibles; información filtrada sobre despachos de alto valor</t>
        </is>
      </c>
      <c r="F77" s="8" t="inlineStr">
        <is>
          <t>Lesiones o muerte del personal, pérdida total de un embarque, interrupción</t>
        </is>
      </c>
      <c r="G77" s="8" t="inlineStr">
        <is>
          <t>Verificar estudio de amenaza de la zona, control de acceso, protocolo antiasalto, botón de pánico y coordinación con la policía</t>
        </is>
      </c>
      <c r="H77" s="8" t="inlineStr">
        <is>
          <t>Estudio de seguridad; protocolo antiasalto; simulacro</t>
        </is>
      </c>
      <c r="I77" s="19" t="n">
        <v>2</v>
      </c>
      <c r="J77" s="19" t="n">
        <v>5</v>
      </c>
      <c r="K77" s="17">
        <f>IF(OR($I77="",$J77=""),"",$I77*$J77)</f>
        <v>10</v>
      </c>
      <c r="L77" s="17" t="str">
        <f>IF($K77="","",IF($K77&gt;=20,"Extremo",IF($K77&gt;=12,"Alto",IF($K77&gt;=6,"Medio",IF($K77&gt;=3,"Bajo","Muy bajo")))))</f>
        <v>Medio</v>
      </c>
      <c r="M77" s="8" t="str">
        <f>IFERROR(VLOOKUP($L77,'3. Escalas y Criterios'!$A$30:$C$34,3,FALSE),"")</f>
        <v>Mensual para elementos operativos; trimestral para elementos estructurales o de instalación</v>
      </c>
      <c r="N77" s="8" t="inlineStr">
        <is>
          <t>Análisis de amenaza semestral; verificación mensual de controles</t>
        </is>
      </c>
      <c r="O77" s="8" t="inlineStr">
        <is>
          <t>ISO 28000 / análisis de amenaza local</t>
        </is>
      </c>
      <c r="P77" s="8" t="inlineStr">
        <is>
          <t>Seguridad Física</t>
        </is>
      </c>
      <c r="Q77" s="19" t="n"/>
      <c r="R77" s="16" t="n"/>
      <c r="S77" s="16" t="n"/>
      <c r="T77" s="20" t="n"/>
    </row>
    <row r="78" ht="48" customHeight="1">
      <c r="A78" s="17" t="inlineStr">
        <is>
          <t>I-03</t>
        </is>
      </c>
      <c r="B78" s="27" t="inlineStr">
        <is>
          <t>I. Seguridad física y protección de la carga</t>
        </is>
      </c>
      <c r="C78" s="8" t="inlineStr">
        <is>
          <t>Control de acceso</t>
        </is>
      </c>
      <c r="D78" s="8" t="inlineStr">
        <is>
          <t>Ingreso de personas o vehículos no autorizados</t>
        </is>
      </c>
      <c r="E78" s="8" t="inlineStr">
        <is>
          <t>Registro incompleto de visitantes y conductores; tarjetas compartidas; porterías sin supervisión; puertas de emergencia usadas como acceso</t>
        </is>
      </c>
      <c r="F78" s="8" t="inlineStr">
        <is>
          <t>Hurto, sabotaje, contaminación de la carga, ingreso de personas sin inducción</t>
        </is>
      </c>
      <c r="G78" s="8" t="inlineStr">
        <is>
          <t>Verificar registro e identificación de visitantes, contratistas y conductores; control de puertas; requisas aleatorias</t>
        </is>
      </c>
      <c r="H78" s="8" t="inlineStr">
        <is>
          <t>Bitácora de portería; registros de control de acceso electrónico</t>
        </is>
      </c>
      <c r="I78" s="19" t="n">
        <v>3</v>
      </c>
      <c r="J78" s="19" t="n">
        <v>4</v>
      </c>
      <c r="K78" s="17">
        <f>IF(OR($I78="",$J78=""),"",$I78*$J78)</f>
        <v>12</v>
      </c>
      <c r="L78" s="17" t="str">
        <f>IF($K78="","",IF($K78&gt;=20,"Extremo",IF($K78&gt;=12,"Alto",IF($K78&gt;=6,"Medio",IF($K78&gt;=3,"Bajo","Muy bajo")))))</f>
        <v>Alto</v>
      </c>
      <c r="M78" s="8" t="str">
        <f>IFERROR(VLOOKUP($L78,'3. Escalas y Criterios'!$A$30:$C$34,3,FALSE),"")</f>
        <v>Semanal (verificación) + inspección formal mensual documentada</v>
      </c>
      <c r="N78" s="8" t="inlineStr">
        <is>
          <t>Verificación diaria; auditoría mensual</t>
        </is>
      </c>
      <c r="O78" s="8" t="inlineStr">
        <is>
          <t>ISO 28000 / BASC / OEA</t>
        </is>
      </c>
      <c r="P78" s="8" t="inlineStr">
        <is>
          <t>Seguridad Física</t>
        </is>
      </c>
      <c r="Q78" s="19" t="n"/>
      <c r="R78" s="16" t="n"/>
      <c r="S78" s="16" t="n"/>
      <c r="T78" s="20" t="n"/>
    </row>
    <row r="79" ht="48" customHeight="1">
      <c r="A79" s="17" t="inlineStr">
        <is>
          <t>I-04</t>
        </is>
      </c>
      <c r="B79" s="27" t="inlineStr">
        <is>
          <t>I. Seguridad física y protección de la carga</t>
        </is>
      </c>
      <c r="C79" s="8" t="inlineStr">
        <is>
          <t>CCTV y monitoreo</t>
        </is>
      </c>
      <c r="D79" s="8" t="inlineStr">
        <is>
          <t>Ausencia de evidencia por cobertura o retención insuficiente</t>
        </is>
      </c>
      <c r="E79" s="8" t="inlineStr">
        <is>
          <t>Cámaras desenfocadas o mal orientadas; puntos ciegos en muelles y jaulas; grabación con retención corta; falta de monitoreo activo</t>
        </is>
      </c>
      <c r="F79" s="8" t="inlineStr">
        <is>
          <t>Imposibilidad de investigar pérdidas o accidentes; no cumplimiento de requisitos del cliente y de la aseguradora</t>
        </is>
      </c>
      <c r="G79" s="8" t="inlineStr">
        <is>
          <t>Verificar cobertura de puntos críticos (muelles, jaula, portería, patio), calidad de imagen, tiempo de retención y monitoreo</t>
        </is>
      </c>
      <c r="H79" s="8" t="inlineStr">
        <is>
          <t>Matriz de cobertura de cámaras; prueba de recuperación de video</t>
        </is>
      </c>
      <c r="I79" s="19" t="n">
        <v>3</v>
      </c>
      <c r="J79" s="19" t="n">
        <v>4</v>
      </c>
      <c r="K79" s="17">
        <f>IF(OR($I79="",$J79=""),"",$I79*$J79)</f>
        <v>12</v>
      </c>
      <c r="L79" s="17" t="str">
        <f>IF($K79="","",IF($K79&gt;=20,"Extremo",IF($K79&gt;=12,"Alto",IF($K79&gt;=6,"Medio",IF($K79&gt;=3,"Bajo","Muy bajo")))))</f>
        <v>Alto</v>
      </c>
      <c r="M79" s="8" t="str">
        <f>IFERROR(VLOOKUP($L79,'3. Escalas y Criterios'!$A$30:$C$34,3,FALSE),"")</f>
        <v>Semanal (verificación) + inspección formal mensual documentada</v>
      </c>
      <c r="N79" s="8" t="inlineStr">
        <is>
          <t>Mensual</t>
        </is>
      </c>
      <c r="O79" s="8" t="inlineStr">
        <is>
          <t>BASC / requisitos del cliente / Ley de protección de datos</t>
        </is>
      </c>
      <c r="P79" s="8" t="inlineStr">
        <is>
          <t>Seguridad Física</t>
        </is>
      </c>
      <c r="Q79" s="19" t="n"/>
      <c r="R79" s="16" t="n"/>
      <c r="S79" s="16" t="n"/>
      <c r="T79" s="20" t="n"/>
    </row>
    <row r="80" ht="48" customHeight="1">
      <c r="A80" s="17" t="inlineStr">
        <is>
          <t>I-05</t>
        </is>
      </c>
      <c r="B80" s="27" t="inlineStr">
        <is>
          <t>I. Seguridad física y protección de la carga</t>
        </is>
      </c>
      <c r="C80" s="8" t="inlineStr">
        <is>
          <t>Contaminación de la carga</t>
        </is>
      </c>
      <c r="D80" s="8" t="inlineStr">
        <is>
          <t>Ingreso de mercancía ilícita (narcotráfico o contrabando) en contenedores o vehículos</t>
        </is>
      </c>
      <c r="E80" s="8" t="inlineStr">
        <is>
          <t>Contenedores sin inspección; sellos no controlados; patios sin vigilancia; personal vulnerable a soborno</t>
        </is>
      </c>
      <c r="F80" s="8" t="inlineStr">
        <is>
          <t>Pérdida de la certificación, sanciones aduaneras, responsabilidad penal, pérdida de mercado de exportación</t>
        </is>
      </c>
      <c r="G80" s="8" t="inlineStr">
        <is>
          <t>Verificar inspección de 7 puntos (o 17 para camión) antes del cargue, control y trazabilidad de sellos de alta seguridad, y custodia del contenedor</t>
        </is>
      </c>
      <c r="H80" s="8" t="inlineStr">
        <is>
          <t>Formato de inspección de contenedor; bitácora de sellos ISO 17712; video del cargue</t>
        </is>
      </c>
      <c r="I80" s="19" t="n">
        <v>2</v>
      </c>
      <c r="J80" s="19" t="n">
        <v>5</v>
      </c>
      <c r="K80" s="17">
        <f>IF(OR($I80="",$J80=""),"",$I80*$J80)</f>
        <v>10</v>
      </c>
      <c r="L80" s="17" t="str">
        <f>IF($K80="","",IF($K80&gt;=20,"Extremo",IF($K80&gt;=12,"Alto",IF($K80&gt;=6,"Medio",IF($K80&gt;=3,"Bajo","Muy bajo")))))</f>
        <v>Medio</v>
      </c>
      <c r="M80" s="8" t="str">
        <f>IFERROR(VLOOKUP($L80,'3. Escalas y Criterios'!$A$30:$C$34,3,FALSE),"")</f>
        <v>Mensual para elementos operativos; trimestral para elementos estructurales o de instalación</v>
      </c>
      <c r="N80" s="8" t="inlineStr">
        <is>
          <t>En cada despacho de exportación; auditoría del programa trimestral y certificación anual</t>
        </is>
      </c>
      <c r="O80" s="8" t="inlineStr">
        <is>
          <t>BASC / OEA / C-TPAT / ISO 17712</t>
        </is>
      </c>
      <c r="P80" s="8" t="inlineStr">
        <is>
          <t>Seguridad Física / Comercio Exterior</t>
        </is>
      </c>
      <c r="Q80" s="19" t="n"/>
      <c r="R80" s="16" t="n"/>
      <c r="S80" s="16" t="n"/>
      <c r="T80" s="20" t="n"/>
    </row>
    <row r="81" ht="42" customHeight="1">
      <c r="A81" s="17" t="inlineStr">
        <is>
          <t>I-06</t>
        </is>
      </c>
      <c r="B81" s="27" t="inlineStr">
        <is>
          <t>I. Seguridad física y protección de la carga</t>
        </is>
      </c>
      <c r="C81" s="8" t="inlineStr">
        <is>
          <t>Sellos, precintos y llaves</t>
        </is>
      </c>
      <c r="D81" s="8" t="inlineStr">
        <is>
          <t>Pérdida de trazabilidad de sellos o de llaves de acceso</t>
        </is>
      </c>
      <c r="E81" s="8" t="inlineStr">
        <is>
          <t>Sellos sin control de consecutivo; llaves sin custodia; ausencia de acta de entrega</t>
        </is>
      </c>
      <c r="F81" s="8" t="inlineStr">
        <is>
          <t>Manipulación de la carga sin detección; hurto en tránsito</t>
        </is>
      </c>
      <c r="G81" s="8" t="inlineStr">
        <is>
          <t>Verificar consecutivo de sellos, custodia bajo llave, registro de asignación y verificación en destino</t>
        </is>
      </c>
      <c r="H81" s="8" t="inlineStr">
        <is>
          <t>Bitácora de sellos; acta de custodia de llaves</t>
        </is>
      </c>
      <c r="I81" s="19" t="n">
        <v>3</v>
      </c>
      <c r="J81" s="19" t="n">
        <v>4</v>
      </c>
      <c r="K81" s="17">
        <f>IF(OR($I81="",$J81=""),"",$I81*$J81)</f>
        <v>12</v>
      </c>
      <c r="L81" s="17" t="str">
        <f>IF($K81="","",IF($K81&gt;=20,"Extremo",IF($K81&gt;=12,"Alto",IF($K81&gt;=6,"Medio",IF($K81&gt;=3,"Bajo","Muy bajo")))))</f>
        <v>Alto</v>
      </c>
      <c r="M81" s="8" t="str">
        <f>IFERROR(VLOOKUP($L81,'3. Escalas y Criterios'!$A$30:$C$34,3,FALSE),"")</f>
        <v>Semanal (verificación) + inspección formal mensual documentada</v>
      </c>
      <c r="N81" s="8" t="inlineStr">
        <is>
          <t>Diaria (uso) + auditoría mensual</t>
        </is>
      </c>
      <c r="O81" s="8" t="inlineStr">
        <is>
          <t>ISO 17712 / BASC</t>
        </is>
      </c>
      <c r="P81" s="8" t="inlineStr">
        <is>
          <t>Seguridad Física</t>
        </is>
      </c>
      <c r="Q81" s="19" t="n"/>
      <c r="R81" s="16" t="n"/>
      <c r="S81" s="16" t="n"/>
      <c r="T81" s="20" t="n"/>
    </row>
    <row r="82" ht="42" customHeight="1">
      <c r="A82" s="17" t="inlineStr">
        <is>
          <t>I-07</t>
        </is>
      </c>
      <c r="B82" s="27" t="inlineStr">
        <is>
          <t>I. Seguridad física y protección de la carga</t>
        </is>
      </c>
      <c r="C82" s="8" t="inlineStr">
        <is>
          <t>Cerramiento perimetral e iluminación de seguridad</t>
        </is>
      </c>
      <c r="D82" s="8" t="inlineStr">
        <is>
          <t>Vulneración del perímetro</t>
        </is>
      </c>
      <c r="E82" s="8" t="inlineStr">
        <is>
          <t>Cerca deteriorada o con vegetación; iluminación insuficiente; zonas sin vigilancia; muros bajos</t>
        </is>
      </c>
      <c r="F82" s="8" t="inlineStr">
        <is>
          <t>Intrusión, hurto, vandalismo</t>
        </is>
      </c>
      <c r="G82" s="8" t="inlineStr">
        <is>
          <t>Recorrido perimetral verificando integridad de la cerca, iluminación, sensores y libertad de la franja de seguridad</t>
        </is>
      </c>
      <c r="H82" s="8" t="inlineStr">
        <is>
          <t>Informe de recorrido perimetral</t>
        </is>
      </c>
      <c r="I82" s="19" t="n">
        <v>3</v>
      </c>
      <c r="J82" s="19" t="n">
        <v>4</v>
      </c>
      <c r="K82" s="17">
        <f>IF(OR($I82="",$J82=""),"",$I82*$J82)</f>
        <v>12</v>
      </c>
      <c r="L82" s="17" t="str">
        <f>IF($K82="","",IF($K82&gt;=20,"Extremo",IF($K82&gt;=12,"Alto",IF($K82&gt;=6,"Medio",IF($K82&gt;=3,"Bajo","Muy bajo")))))</f>
        <v>Alto</v>
      </c>
      <c r="M82" s="8" t="str">
        <f>IFERROR(VLOOKUP($L82,'3. Escalas y Criterios'!$A$30:$C$34,3,FALSE),"")</f>
        <v>Semanal (verificación) + inspección formal mensual documentada</v>
      </c>
      <c r="N82" s="8" t="inlineStr">
        <is>
          <t>Trimestral</t>
        </is>
      </c>
      <c r="O82" s="8" t="inlineStr">
        <is>
          <t>ISO 28000 / BASC</t>
        </is>
      </c>
      <c r="P82" s="8" t="inlineStr">
        <is>
          <t>Seguridad Física</t>
        </is>
      </c>
      <c r="Q82" s="19" t="n"/>
      <c r="R82" s="16" t="n"/>
      <c r="S82" s="16" t="n"/>
      <c r="T82" s="20" t="n"/>
    </row>
    <row r="83" ht="42" customHeight="1">
      <c r="A83" s="17" t="inlineStr">
        <is>
          <t>I-08</t>
        </is>
      </c>
      <c r="B83" s="27" t="inlineStr">
        <is>
          <t>I. Seguridad física y protección de la carga</t>
        </is>
      </c>
      <c r="C83" s="8" t="inlineStr">
        <is>
          <t>Suplantación de transportista</t>
        </is>
      </c>
      <c r="D83" s="8" t="inlineStr">
        <is>
          <t>Entrega de la carga a un transportista o conductor suplantado</t>
        </is>
      </c>
      <c r="E83" s="8" t="inlineStr">
        <is>
          <t>Validación débil de identidad del conductor; cambios de última hora sin confirmación; documentación falsificada</t>
        </is>
      </c>
      <c r="F83" s="8" t="inlineStr">
        <is>
          <t>Pérdida total del embarque (fraude de recogida)</t>
        </is>
      </c>
      <c r="G83" s="8" t="inlineStr">
        <is>
          <t>Verificar protocolo de validación de conductor y vehículo contra la programación (documento, placa, foto, código de recogida)</t>
        </is>
      </c>
      <c r="H83" s="8" t="inlineStr">
        <is>
          <t>Registro de validación de conductor; programación de transporte</t>
        </is>
      </c>
      <c r="I83" s="19" t="n">
        <v>2</v>
      </c>
      <c r="J83" s="19" t="n">
        <v>5</v>
      </c>
      <c r="K83" s="17">
        <f>IF(OR($I83="",$J83=""),"",$I83*$J83)</f>
        <v>10</v>
      </c>
      <c r="L83" s="17" t="str">
        <f>IF($K83="","",IF($K83&gt;=20,"Extremo",IF($K83&gt;=12,"Alto",IF($K83&gt;=6,"Medio",IF($K83&gt;=3,"Bajo","Muy bajo")))))</f>
        <v>Medio</v>
      </c>
      <c r="M83" s="8" t="str">
        <f>IFERROR(VLOOKUP($L83,'3. Escalas y Criterios'!$A$30:$C$34,3,FALSE),"")</f>
        <v>Mensual para elementos operativos; trimestral para elementos estructurales o de instalación</v>
      </c>
      <c r="N83" s="8" t="inlineStr">
        <is>
          <t>En cada despacho + auditoría mensual</t>
        </is>
      </c>
      <c r="O83" s="8" t="inlineStr">
        <is>
          <t>Buena práctica / BASC</t>
        </is>
      </c>
      <c r="P83" s="8" t="inlineStr">
        <is>
          <t>Seguridad Física / Despachos</t>
        </is>
      </c>
      <c r="Q83" s="19" t="n"/>
      <c r="R83" s="16" t="n"/>
      <c r="S83" s="16" t="n"/>
      <c r="T83" s="20" t="n"/>
    </row>
    <row r="84" ht="42" customHeight="1">
      <c r="A84" s="17" t="inlineStr">
        <is>
          <t>J-01</t>
        </is>
      </c>
      <c r="B84" s="28" t="inlineStr">
        <is>
          <t>J. Tecnología de información</t>
        </is>
      </c>
      <c r="C84" s="8" t="inlineStr">
        <is>
          <t>WMS / sistema de gestión</t>
        </is>
      </c>
      <c r="D84" s="8" t="inlineStr">
        <is>
          <t>Indisponibilidad prolongada del WMS o del ERP</t>
        </is>
      </c>
      <c r="E84" s="8" t="inlineStr">
        <is>
          <t>Falla de servidor o de enlace; sin alta disponibilidad; dependencia de un único proveedor; mantenimiento sin ventana</t>
        </is>
      </c>
      <c r="F84" s="8" t="inlineStr">
        <is>
          <t>Parálisis total de recibo, picking y despacho; incumplimiento de entregas</t>
        </is>
      </c>
      <c r="G84" s="8" t="inlineStr">
        <is>
          <t>Verificar arquitectura de respaldo, acuerdos de nivel de servicio, y existencia y prueba del procedimiento manual de contingencia</t>
        </is>
      </c>
      <c r="H84" s="8" t="inlineStr">
        <is>
          <t>Procedimiento de contingencia manual; acta de prueba; contrato con SLA</t>
        </is>
      </c>
      <c r="I84" s="19" t="n">
        <v>3</v>
      </c>
      <c r="J84" s="19" t="n">
        <v>5</v>
      </c>
      <c r="K84" s="17">
        <f>IF(OR($I84="",$J84=""),"",$I84*$J84)</f>
        <v>15</v>
      </c>
      <c r="L84" s="17" t="str">
        <f>IF($K84="","",IF($K84&gt;=20,"Extremo",IF($K84&gt;=12,"Alto",IF($K84&gt;=6,"Medio",IF($K84&gt;=3,"Bajo","Muy bajo")))))</f>
        <v>Alto</v>
      </c>
      <c r="M84" s="8" t="str">
        <f>IFERROR(VLOOKUP($L84,'3. Escalas y Criterios'!$A$30:$C$34,3,FALSE),"")</f>
        <v>Semanal (verificación) + inspección formal mensual documentada</v>
      </c>
      <c r="N84" s="8" t="inlineStr">
        <is>
          <t>Prueba del plan de contingencia semestral; monitoreo continuo de disponibilidad</t>
        </is>
      </c>
      <c r="O84" s="8" t="inlineStr">
        <is>
          <t>ISO 22301 / ITIL</t>
        </is>
      </c>
      <c r="P84" s="8" t="inlineStr">
        <is>
          <t>TI / Jefe de CEDI</t>
        </is>
      </c>
      <c r="Q84" s="19" t="n"/>
      <c r="R84" s="16" t="n"/>
      <c r="S84" s="16" t="n"/>
      <c r="T84" s="20" t="n"/>
    </row>
    <row r="85" ht="48" customHeight="1">
      <c r="A85" s="17" t="inlineStr">
        <is>
          <t>J-02</t>
        </is>
      </c>
      <c r="B85" s="28" t="inlineStr">
        <is>
          <t>J. Tecnología de información</t>
        </is>
      </c>
      <c r="C85" s="8" t="inlineStr">
        <is>
          <t>Ciberseguridad</t>
        </is>
      </c>
      <c r="D85" s="8" t="inlineStr">
        <is>
          <t>Ransomware o intrusión que cifra o expone la información operativa</t>
        </is>
      </c>
      <c r="E85" s="8" t="inlineStr">
        <is>
          <t>Estaciones sin parches; credenciales compartidas; acceso remoto sin doble factor; personal sin concientización; equipos RF obsoletos</t>
        </is>
      </c>
      <c r="F85" s="8" t="inlineStr">
        <is>
          <t>Paro total, pérdida de trazabilidad, extorsión, filtración de datos de clientes</t>
        </is>
      </c>
      <c r="G85" s="8" t="inlineStr">
        <is>
          <t>Verificar respaldo probado (regla 3-2-1), segmentación de la red industrial, control de accesos, parches y campañas de concientización</t>
        </is>
      </c>
      <c r="H85" s="8" t="inlineStr">
        <is>
          <t>Prueba de restauración de respaldo; informe de vulnerabilidades</t>
        </is>
      </c>
      <c r="I85" s="19" t="n">
        <v>3</v>
      </c>
      <c r="J85" s="19" t="n">
        <v>5</v>
      </c>
      <c r="K85" s="17">
        <f>IF(OR($I85="",$J85=""),"",$I85*$J85)</f>
        <v>15</v>
      </c>
      <c r="L85" s="17" t="str">
        <f>IF($K85="","",IF($K85&gt;=20,"Extremo",IF($K85&gt;=12,"Alto",IF($K85&gt;=6,"Medio",IF($K85&gt;=3,"Bajo","Muy bajo")))))</f>
        <v>Alto</v>
      </c>
      <c r="M85" s="8" t="str">
        <f>IFERROR(VLOOKUP($L85,'3. Escalas y Criterios'!$A$30:$C$34,3,FALSE),"")</f>
        <v>Semanal (verificación) + inspección formal mensual documentada</v>
      </c>
      <c r="N85" s="8" t="inlineStr">
        <is>
          <t>Restauración de respaldo trimestral; análisis de vulnerabilidades semestral; prueba de intrusión anual</t>
        </is>
      </c>
      <c r="O85" s="8" t="inlineStr">
        <is>
          <t>ISO 27001 / NIST CSF</t>
        </is>
      </c>
      <c r="P85" s="8" t="inlineStr">
        <is>
          <t>TI</t>
        </is>
      </c>
      <c r="Q85" s="19" t="n"/>
      <c r="R85" s="16" t="n"/>
      <c r="S85" s="16" t="n"/>
      <c r="T85" s="20" t="n"/>
    </row>
    <row r="86" ht="42" customHeight="1">
      <c r="A86" s="17" t="inlineStr">
        <is>
          <t>J-03</t>
        </is>
      </c>
      <c r="B86" s="28" t="inlineStr">
        <is>
          <t>J. Tecnología de información</t>
        </is>
      </c>
      <c r="C86" s="8" t="inlineStr">
        <is>
          <t>Radiofrecuencia y conectividad</t>
        </is>
      </c>
      <c r="D86" s="8" t="inlineStr">
        <is>
          <t>Zonas sin cobertura RF o WiFi en la bodega</t>
        </is>
      </c>
      <c r="E86" s="8" t="inlineStr">
        <is>
          <t>Estantería metálica y altura; cuartos fríos; crecimiento del área sin nuevo estudio de cobertura</t>
        </is>
      </c>
      <c r="F86" s="8" t="inlineStr">
        <is>
          <t>Pérdida de productividad, transacciones no registradas, errores de inventario</t>
        </is>
      </c>
      <c r="G86" s="8" t="inlineStr">
        <is>
          <t>Realizar site survey de cobertura por zona, incluyendo niveles altos y cuartos fríos</t>
        </is>
      </c>
      <c r="H86" s="8" t="inlineStr">
        <is>
          <t>Informe de site survey; mapa de calor de cobertura</t>
        </is>
      </c>
      <c r="I86" s="19" t="n">
        <v>3</v>
      </c>
      <c r="J86" s="19" t="n">
        <v>3</v>
      </c>
      <c r="K86" s="17">
        <f>IF(OR($I86="",$J86=""),"",$I86*$J86)</f>
        <v>9</v>
      </c>
      <c r="L86" s="17" t="str">
        <f>IF($K86="","",IF($K86&gt;=20,"Extremo",IF($K86&gt;=12,"Alto",IF($K86&gt;=6,"Medio",IF($K86&gt;=3,"Bajo","Muy bajo")))))</f>
        <v>Medio</v>
      </c>
      <c r="M86" s="8" t="str">
        <f>IFERROR(VLOOKUP($L86,'3. Escalas y Criterios'!$A$30:$C$34,3,FALSE),"")</f>
        <v>Mensual para elementos operativos; trimestral para elementos estructurales o de instalación</v>
      </c>
      <c r="N86" s="8" t="inlineStr">
        <is>
          <t>Semestral y ante cada cambio de layout</t>
        </is>
      </c>
      <c r="O86" s="8" t="inlineStr">
        <is>
          <t>Buena práctica</t>
        </is>
      </c>
      <c r="P86" s="8" t="inlineStr">
        <is>
          <t>TI</t>
        </is>
      </c>
      <c r="Q86" s="19" t="n"/>
      <c r="R86" s="16" t="n"/>
      <c r="S86" s="16" t="n"/>
      <c r="T86" s="20" t="n"/>
    </row>
    <row r="87" ht="42" customHeight="1">
      <c r="A87" s="17" t="inlineStr">
        <is>
          <t>J-04</t>
        </is>
      </c>
      <c r="B87" s="28" t="inlineStr">
        <is>
          <t>J. Tecnología de información</t>
        </is>
      </c>
      <c r="C87" s="8" t="inlineStr">
        <is>
          <t>Trazabilidad y respaldo de datos</t>
        </is>
      </c>
      <c r="D87" s="8" t="inlineStr">
        <is>
          <t>Pérdida de registros operativos y de trazabilidad</t>
        </is>
      </c>
      <c r="E87" s="8" t="inlineStr">
        <is>
          <t>Respaldo no verificado; retención insuficiente; registros solo en papel</t>
        </is>
      </c>
      <c r="F87" s="8" t="inlineStr">
        <is>
          <t>Imposibilidad de responder ante recall, auditoría o reclamo; sanción regulatoria</t>
        </is>
      </c>
      <c r="G87" s="8" t="inlineStr">
        <is>
          <t>Verificar política de retención, respaldo y recuperación de registros críticos (lotes, temperaturas, despachos)</t>
        </is>
      </c>
      <c r="H87" s="8" t="inlineStr">
        <is>
          <t>Política de retención documental; prueba de recuperación</t>
        </is>
      </c>
      <c r="I87" s="19" t="n">
        <v>3</v>
      </c>
      <c r="J87" s="19" t="n">
        <v>4</v>
      </c>
      <c r="K87" s="17">
        <f>IF(OR($I87="",$J87=""),"",$I87*$J87)</f>
        <v>12</v>
      </c>
      <c r="L87" s="17" t="str">
        <f>IF($K87="","",IF($K87&gt;=20,"Extremo",IF($K87&gt;=12,"Alto",IF($K87&gt;=6,"Medio",IF($K87&gt;=3,"Bajo","Muy bajo")))))</f>
        <v>Alto</v>
      </c>
      <c r="M87" s="8" t="str">
        <f>IFERROR(VLOOKUP($L87,'3. Escalas y Criterios'!$A$30:$C$34,3,FALSE),"")</f>
        <v>Semanal (verificación) + inspección formal mensual documentada</v>
      </c>
      <c r="N87" s="8" t="inlineStr">
        <is>
          <t>Semestral</t>
        </is>
      </c>
      <c r="O87" s="8" t="inlineStr">
        <is>
          <t>ISO 9001 / requisitos regulatorios</t>
        </is>
      </c>
      <c r="P87" s="8" t="inlineStr">
        <is>
          <t>TI / Calidad</t>
        </is>
      </c>
      <c r="Q87" s="19" t="n"/>
      <c r="R87" s="16" t="n"/>
      <c r="S87" s="16" t="n"/>
      <c r="T87" s="20" t="n"/>
    </row>
    <row r="88" ht="42" customHeight="1">
      <c r="A88" s="17" t="inlineStr">
        <is>
          <t>K-01</t>
        </is>
      </c>
      <c r="B88" s="29" t="inlineStr">
        <is>
          <t>K. Personas y seguridad y salud en el trabajo</t>
        </is>
      </c>
      <c r="C88" s="8" t="inlineStr">
        <is>
          <t>Manipulación manual de cargas</t>
        </is>
      </c>
      <c r="D88" s="8" t="inlineStr">
        <is>
          <t>Desorden musculoesquelético (DME) por picking y estiba manual</t>
        </is>
      </c>
      <c r="E88" s="8" t="inlineStr">
        <is>
          <t>Pesos superiores al límite; frecuencia alta; alturas de agarre inadecuadas; ausencia de ayudas mecánicas; jornadas extendidas</t>
        </is>
      </c>
      <c r="F88" s="8" t="inlineStr">
        <is>
          <t>Incapacidades prolongadas, ausentismo, demandas laborales, pérdida de productividad</t>
        </is>
      </c>
      <c r="G88" s="8" t="inlineStr">
        <is>
          <t>Verificar matriz de riesgo ergonómico por puesto, límites de peso, ayudas mecánicas, alturas de picking y pausas activas</t>
        </is>
      </c>
      <c r="H88" s="8" t="inlineStr">
        <is>
          <t>Evaluación ergonómica (NIOSH / REBA); programa de vigilancia epidemiológica</t>
        </is>
      </c>
      <c r="I88" s="19" t="n">
        <v>4</v>
      </c>
      <c r="J88" s="19" t="n">
        <v>3</v>
      </c>
      <c r="K88" s="17">
        <f>IF(OR($I88="",$J88=""),"",$I88*$J88)</f>
        <v>12</v>
      </c>
      <c r="L88" s="17" t="str">
        <f>IF($K88="","",IF($K88&gt;=20,"Extremo",IF($K88&gt;=12,"Alto",IF($K88&gt;=6,"Medio",IF($K88&gt;=3,"Bajo","Muy bajo")))))</f>
        <v>Alto</v>
      </c>
      <c r="M88" s="8" t="str">
        <f>IFERROR(VLOOKUP($L88,'3. Escalas y Criterios'!$A$30:$C$34,3,FALSE),"")</f>
        <v>Semanal (verificación) + inspección formal mensual documentada</v>
      </c>
      <c r="N88" s="8" t="inlineStr">
        <is>
          <t>Evaluación ergonómica anual; seguimiento semestral del programa; observación mensual</t>
        </is>
      </c>
      <c r="O88" s="8" t="inlineStr">
        <is>
          <t>ISO 11228 / Resolución 2400 de 1979 / SG-SST</t>
        </is>
      </c>
      <c r="P88" s="8" t="inlineStr">
        <is>
          <t>HSE / Medicina Laboral</t>
        </is>
      </c>
      <c r="Q88" s="19" t="n"/>
      <c r="R88" s="16" t="n"/>
      <c r="S88" s="16" t="n"/>
      <c r="T88" s="20" t="n"/>
    </row>
    <row r="89" ht="42" customHeight="1">
      <c r="A89" s="17" t="inlineStr">
        <is>
          <t>K-02</t>
        </is>
      </c>
      <c r="B89" s="29" t="inlineStr">
        <is>
          <t>K. Personas y seguridad y salud en el trabajo</t>
        </is>
      </c>
      <c r="C89" s="8" t="inlineStr">
        <is>
          <t>Caídas al mismo nivel</t>
        </is>
      </c>
      <c r="D89" s="8" t="inlineStr">
        <is>
          <t>Resbalón, tropiezo o caída en piso de bodega</t>
        </is>
      </c>
      <c r="E89" s="8" t="inlineStr">
        <is>
          <t>Derrames no atendidos; film y zunchos en piso; cables sueltos; iluminación deficiente; calzado inadecuado</t>
        </is>
      </c>
      <c r="F89" s="8" t="inlineStr">
        <is>
          <t>Lesiones, incapacidad, costos por ATEL</t>
        </is>
      </c>
      <c r="G89" s="8" t="inlineStr">
        <is>
          <t>Ronda de orden y aseo, verificación de atención inmediata de derrames y de disponibilidad de señalización de piso humedo</t>
        </is>
      </c>
      <c r="H89" s="8" t="inlineStr">
        <is>
          <t>Ronda 5S; reporte de condiciones inseguras</t>
        </is>
      </c>
      <c r="I89" s="19" t="n">
        <v>4</v>
      </c>
      <c r="J89" s="19" t="n">
        <v>3</v>
      </c>
      <c r="K89" s="17">
        <f>IF(OR($I89="",$J89=""),"",$I89*$J89)</f>
        <v>12</v>
      </c>
      <c r="L89" s="17" t="str">
        <f>IF($K89="","",IF($K89&gt;=20,"Extremo",IF($K89&gt;=12,"Alto",IF($K89&gt;=6,"Medio",IF($K89&gt;=3,"Bajo","Muy bajo")))))</f>
        <v>Alto</v>
      </c>
      <c r="M89" s="8" t="str">
        <f>IFERROR(VLOOKUP($L89,'3. Escalas y Criterios'!$A$30:$C$34,3,FALSE),"")</f>
        <v>Semanal (verificación) + inspección formal mensual documentada</v>
      </c>
      <c r="N89" s="8" t="inlineStr">
        <is>
          <t>Diaria</t>
        </is>
      </c>
      <c r="O89" s="8" t="inlineStr">
        <is>
          <t>SG-SST / OSHA 1910.22</t>
        </is>
      </c>
      <c r="P89" s="8" t="inlineStr">
        <is>
          <t>Supervisor de turno / HSE</t>
        </is>
      </c>
      <c r="Q89" s="19" t="n"/>
      <c r="R89" s="16" t="n"/>
      <c r="S89" s="16" t="n"/>
      <c r="T89" s="20" t="n"/>
    </row>
    <row r="90" ht="48" customHeight="1">
      <c r="A90" s="17" t="inlineStr">
        <is>
          <t>K-03</t>
        </is>
      </c>
      <c r="B90" s="29" t="inlineStr">
        <is>
          <t>K. Personas y seguridad y salud en el trabajo</t>
        </is>
      </c>
      <c r="C90" s="8" t="inlineStr">
        <is>
          <t>Trabajo en alturas</t>
        </is>
      </c>
      <c r="D90" s="8" t="inlineStr">
        <is>
          <t>Caída de altura en mantenimiento, picking en niveles superiores o limpieza</t>
        </is>
      </c>
      <c r="E90" s="8" t="inlineStr">
        <is>
          <t>Trabajo sin permiso; personal sin certificación vigente; puntos de anclaje no certificados; EPP deteriorado</t>
        </is>
      </c>
      <c r="F90" s="8" t="inlineStr">
        <is>
          <t>Fatalidad, sanción legal significativa</t>
        </is>
      </c>
      <c r="G90" s="8" t="inlineStr">
        <is>
          <t>Verificar permisos, certificación del personal, memoria de cálculo de puntos de anclaje e inspección de arneses y líneas de vida</t>
        </is>
      </c>
      <c r="H90" s="8" t="inlineStr">
        <is>
          <t>Permisos de trabajo; certificados de altura; inspección de EPP</t>
        </is>
      </c>
      <c r="I90" s="19" t="n">
        <v>3</v>
      </c>
      <c r="J90" s="19" t="n">
        <v>5</v>
      </c>
      <c r="K90" s="17">
        <f>IF(OR($I90="",$J90=""),"",$I90*$J90)</f>
        <v>15</v>
      </c>
      <c r="L90" s="17" t="str">
        <f>IF($K90="","",IF($K90&gt;=20,"Extremo",IF($K90&gt;=12,"Alto",IF($K90&gt;=6,"Medio",IF($K90&gt;=3,"Bajo","Muy bajo")))))</f>
        <v>Alto</v>
      </c>
      <c r="M90" s="8" t="str">
        <f>IFERROR(VLOOKUP($L90,'3. Escalas y Criterios'!$A$30:$C$34,3,FALSE),"")</f>
        <v>Semanal (verificación) + inspección formal mensual documentada</v>
      </c>
      <c r="N90" s="8" t="inlineStr">
        <is>
          <t>Cada tarea (permiso); inspección de EPP trimestral; recertificación del personal según norma (típicamente anual/bienal)</t>
        </is>
      </c>
      <c r="O90" s="8" t="inlineStr">
        <is>
          <t>Resolución 1409 de 2012 / OSHA 1926.501</t>
        </is>
      </c>
      <c r="P90" s="8" t="inlineStr">
        <is>
          <t>HSE</t>
        </is>
      </c>
      <c r="Q90" s="19" t="n"/>
      <c r="R90" s="16" t="n"/>
      <c r="S90" s="16" t="n"/>
      <c r="T90" s="20" t="n"/>
    </row>
    <row r="91" ht="42" customHeight="1">
      <c r="A91" s="17" t="inlineStr">
        <is>
          <t>K-04</t>
        </is>
      </c>
      <c r="B91" s="29" t="inlineStr">
        <is>
          <t>K. Personas y seguridad y salud en el trabajo</t>
        </is>
      </c>
      <c r="C91" s="8" t="inlineStr">
        <is>
          <t>Exposición a temperatura</t>
        </is>
      </c>
      <c r="D91" s="8" t="inlineStr">
        <is>
          <t>Estrés térmico por frío (cámara de congelación) o calor (bodega sin ventilación)</t>
        </is>
      </c>
      <c r="E91" s="8" t="inlineStr">
        <is>
          <t>Tiempos de exposición sin rotación; dotación térmica insuficiente; ausencia de hidratación; techos sin aislamiento</t>
        </is>
      </c>
      <c r="F91" s="8" t="inlineStr">
        <is>
          <t>Hipotermia, golpe de calor, deshidratación, accidentes por pérdida de destreza</t>
        </is>
      </c>
      <c r="G91" s="8" t="inlineStr">
        <is>
          <t>Verificar tiempos máximos de exposición, rotación, dotación térmica, áreas de recuperación e hidratación</t>
        </is>
      </c>
      <c r="H91" s="8" t="inlineStr">
        <is>
          <t>Medición de estrés térmico (WBGT); estándar de rotación</t>
        </is>
      </c>
      <c r="I91" s="19" t="n">
        <v>3</v>
      </c>
      <c r="J91" s="19" t="n">
        <v>3</v>
      </c>
      <c r="K91" s="17">
        <f>IF(OR($I91="",$J91=""),"",$I91*$J91)</f>
        <v>9</v>
      </c>
      <c r="L91" s="17" t="str">
        <f>IF($K91="","",IF($K91&gt;=20,"Extremo",IF($K91&gt;=12,"Alto",IF($K91&gt;=6,"Medio",IF($K91&gt;=3,"Bajo","Muy bajo")))))</f>
        <v>Medio</v>
      </c>
      <c r="M91" s="8" t="str">
        <f>IFERROR(VLOOKUP($L91,'3. Escalas y Criterios'!$A$30:$C$34,3,FALSE),"")</f>
        <v>Mensual para elementos operativos; trimestral para elementos estructurales o de instalación</v>
      </c>
      <c r="N91" s="8" t="inlineStr">
        <is>
          <t>Medición anual; verificación mensual del control operativo</t>
        </is>
      </c>
      <c r="O91" s="8" t="inlineStr">
        <is>
          <t>Resolución 2400 de 1979 / ACGIH TLV</t>
        </is>
      </c>
      <c r="P91" s="8" t="inlineStr">
        <is>
          <t>HSE</t>
        </is>
      </c>
      <c r="Q91" s="19" t="n"/>
      <c r="R91" s="16" t="n"/>
      <c r="S91" s="16" t="n"/>
      <c r="T91" s="20" t="n"/>
    </row>
    <row r="92" ht="42" customHeight="1">
      <c r="A92" s="17" t="inlineStr">
        <is>
          <t>K-05</t>
        </is>
      </c>
      <c r="B92" s="29" t="inlineStr">
        <is>
          <t>K. Personas y seguridad y salud en el trabajo</t>
        </is>
      </c>
      <c r="C92" s="8" t="inlineStr">
        <is>
          <t>Higiene industrial (ruido, iluminación, calidad de aire)</t>
        </is>
      </c>
      <c r="D92" s="8" t="inlineStr">
        <is>
          <t>Exposición a agentes físicos por encima del límite permisible</t>
        </is>
      </c>
      <c r="E92" s="8" t="inlineStr">
        <is>
          <t>Equipos ruidosos; iluminación deficiente; polvo y material particulado; ausencia de mediciones actualizadas</t>
        </is>
      </c>
      <c r="F92" s="8" t="inlineStr">
        <is>
          <t>Hipoacusia, fatiga visual, enfermedades respiratorias, no conformidad legal</t>
        </is>
      </c>
      <c r="G92" s="8" t="inlineStr">
        <is>
          <t>Verificar vigencia de las mediciones higiénicas y ejecución de los controles derivadas de ellas</t>
        </is>
      </c>
      <c r="H92" s="8" t="inlineStr">
        <is>
          <t>Informes de mediciones higiénicas; programas de vigilancia epidemiológica</t>
        </is>
      </c>
      <c r="I92" s="19" t="n">
        <v>3</v>
      </c>
      <c r="J92" s="19" t="n">
        <v>3</v>
      </c>
      <c r="K92" s="17">
        <f>IF(OR($I92="",$J92=""),"",$I92*$J92)</f>
        <v>9</v>
      </c>
      <c r="L92" s="17" t="str">
        <f>IF($K92="","",IF($K92&gt;=20,"Extremo",IF($K92&gt;=12,"Alto",IF($K92&gt;=6,"Medio",IF($K92&gt;=3,"Bajo","Muy bajo")))))</f>
        <v>Medio</v>
      </c>
      <c r="M92" s="8" t="str">
        <f>IFERROR(VLOOKUP($L92,'3. Escalas y Criterios'!$A$30:$C$34,3,FALSE),"")</f>
        <v>Mensual para elementos operativos; trimestral para elementos estructurales o de instalación</v>
      </c>
      <c r="N92" s="8" t="inlineStr">
        <is>
          <t>Mediciones cada 1-2 años o ante cambio de proceso</t>
        </is>
      </c>
      <c r="O92" s="8" t="inlineStr">
        <is>
          <t>SG-SST / Resolución 0312 de 2019</t>
        </is>
      </c>
      <c r="P92" s="8" t="inlineStr">
        <is>
          <t>HSE</t>
        </is>
      </c>
      <c r="Q92" s="19" t="n"/>
      <c r="R92" s="16" t="n"/>
      <c r="S92" s="16" t="n"/>
      <c r="T92" s="20" t="n"/>
    </row>
    <row r="93" ht="42" customHeight="1">
      <c r="A93" s="17" t="inlineStr">
        <is>
          <t>K-06</t>
        </is>
      </c>
      <c r="B93" s="29" t="inlineStr">
        <is>
          <t>K. Personas y seguridad y salud en el trabajo</t>
        </is>
      </c>
      <c r="C93" s="8" t="inlineStr">
        <is>
          <t>Inducción y rotación de personal</t>
        </is>
      </c>
      <c r="D93" s="8" t="inlineStr">
        <is>
          <t>Personal nuevo o temporal operando sin inducción ni competencia</t>
        </is>
      </c>
      <c r="E93" s="8" t="inlineStr">
        <is>
          <t>Alta rotación; contratación masiva en temporada; inducción reducida por presión operativa</t>
        </is>
      </c>
      <c r="F93" s="8" t="inlineStr">
        <is>
          <t>Accidentes, errores de inventario, daño de producto e infraestructura</t>
        </is>
      </c>
      <c r="G93" s="8" t="inlineStr">
        <is>
          <t>Verificar inducción documentada previa al ingreso a piso, entrenamiento en el puesto y periodo de acompañamiento</t>
        </is>
      </c>
      <c r="H93" s="8" t="inlineStr">
        <is>
          <t>Registros de inducción; matriz de competencias; indicador de rotación</t>
        </is>
      </c>
      <c r="I93" s="19" t="n">
        <v>4</v>
      </c>
      <c r="J93" s="19" t="n">
        <v>4</v>
      </c>
      <c r="K93" s="17">
        <f>IF(OR($I93="",$J93=""),"",$I93*$J93)</f>
        <v>16</v>
      </c>
      <c r="L93" s="17" t="str">
        <f>IF($K93="","",IF($K93&gt;=20,"Extremo",IF($K93&gt;=12,"Alto",IF($K93&gt;=6,"Medio",IF($K93&gt;=3,"Bajo","Muy bajo")))))</f>
        <v>Alto</v>
      </c>
      <c r="M93" s="8" t="str">
        <f>IFERROR(VLOOKUP($L93,'3. Escalas y Criterios'!$A$30:$C$34,3,FALSE),"")</f>
        <v>Semanal (verificación) + inspección formal mensual documentada</v>
      </c>
      <c r="N93" s="8" t="inlineStr">
        <is>
          <t>En cada ingreso; verificación mensual de cumplimiento</t>
        </is>
      </c>
      <c r="O93" s="8" t="inlineStr">
        <is>
          <t>Decreto 1072 de 2015 / SG-SST</t>
        </is>
      </c>
      <c r="P93" s="8" t="inlineStr">
        <is>
          <t>Talento Humano / HSE</t>
        </is>
      </c>
      <c r="Q93" s="19" t="n"/>
      <c r="R93" s="16" t="n"/>
      <c r="S93" s="16" t="n"/>
      <c r="T93" s="20" t="n"/>
    </row>
    <row r="94" ht="42" customHeight="1">
      <c r="A94" s="17" t="inlineStr">
        <is>
          <t>K-07</t>
        </is>
      </c>
      <c r="B94" s="29" t="inlineStr">
        <is>
          <t>K. Personas y seguridad y salud en el trabajo</t>
        </is>
      </c>
      <c r="C94" s="8" t="inlineStr">
        <is>
          <t>Fatiga y jornadas</t>
        </is>
      </c>
      <c r="D94" s="8" t="inlineStr">
        <is>
          <t>Accidentes y errores por fatiga acumulada</t>
        </is>
      </c>
      <c r="E94" s="8" t="inlineStr">
        <is>
          <t>Horas extra sostenidas; turnos rotativos mal diseñados; ausentismo cubierto con sobrecarga</t>
        </is>
      </c>
      <c r="F94" s="8" t="inlineStr">
        <is>
          <t>Accidentes graves, errores de despacho, ausentismo</t>
        </is>
      </c>
      <c r="G94" s="8" t="inlineStr">
        <is>
          <t>Monitorear horas extra, cumplimiento de descansos y esquemas de turno; encuesta de fatiga</t>
        </is>
      </c>
      <c r="H94" s="8" t="inlineStr">
        <is>
          <t>Reporte de horas extra; análisis de turnos</t>
        </is>
      </c>
      <c r="I94" s="19" t="n">
        <v>3</v>
      </c>
      <c r="J94" s="19" t="n">
        <v>3</v>
      </c>
      <c r="K94" s="17">
        <f>IF(OR($I94="",$J94=""),"",$I94*$J94)</f>
        <v>9</v>
      </c>
      <c r="L94" s="17" t="str">
        <f>IF($K94="","",IF($K94&gt;=20,"Extremo",IF($K94&gt;=12,"Alto",IF($K94&gt;=6,"Medio",IF($K94&gt;=3,"Bajo","Muy bajo")))))</f>
        <v>Medio</v>
      </c>
      <c r="M94" s="8" t="str">
        <f>IFERROR(VLOOKUP($L94,'3. Escalas y Criterios'!$A$30:$C$34,3,FALSE),"")</f>
        <v>Mensual para elementos operativos; trimestral para elementos estructurales o de instalación</v>
      </c>
      <c r="N94" s="8" t="inlineStr">
        <is>
          <t>Mensual</t>
        </is>
      </c>
      <c r="O94" s="8" t="inlineStr">
        <is>
          <t>Código laboral aplicable / SG-SST</t>
        </is>
      </c>
      <c r="P94" s="8" t="inlineStr">
        <is>
          <t>Talento Humano</t>
        </is>
      </c>
      <c r="Q94" s="19" t="n"/>
      <c r="R94" s="16" t="n"/>
      <c r="S94" s="16" t="n"/>
      <c r="T94" s="20" t="n"/>
    </row>
    <row r="95" ht="42" customHeight="1">
      <c r="A95" s="17" t="inlineStr">
        <is>
          <t>K-08</t>
        </is>
      </c>
      <c r="B95" s="29" t="inlineStr">
        <is>
          <t>K. Personas y seguridad y salud en el trabajo</t>
        </is>
      </c>
      <c r="C95" s="8" t="inlineStr">
        <is>
          <t>Espacios confinados y contenedores fumigados</t>
        </is>
      </c>
      <c r="D95" s="8" t="inlineStr">
        <is>
          <t>Exposición a atmósfera peligrosa al ingresar a contenedor o espacio confinado</t>
        </is>
      </c>
      <c r="E95" s="8" t="inlineStr">
        <is>
          <t>Contenedores fumigados sin ventilación previa ni rotulado; tanques y fosos sin permiso</t>
        </is>
      </c>
      <c r="F95" s="8" t="inlineStr">
        <is>
          <t>Intoxicación aguda o muerte</t>
        </is>
      </c>
      <c r="G95" s="8" t="inlineStr">
        <is>
          <t>Verificar protocolo de ventilación y medición de gases antes del ingreso a contenedores de importación y permiso de espacios confinados</t>
        </is>
      </c>
      <c r="H95" s="8" t="inlineStr">
        <is>
          <t>Registro de medición de gases; permisos de espacio confinado</t>
        </is>
      </c>
      <c r="I95" s="19" t="n">
        <v>2</v>
      </c>
      <c r="J95" s="19" t="n">
        <v>5</v>
      </c>
      <c r="K95" s="17">
        <f>IF(OR($I95="",$J95=""),"",$I95*$J95)</f>
        <v>10</v>
      </c>
      <c r="L95" s="17" t="str">
        <f>IF($K95="","",IF($K95&gt;=20,"Extremo",IF($K95&gt;=12,"Alto",IF($K95&gt;=6,"Medio",IF($K95&gt;=3,"Bajo","Muy bajo")))))</f>
        <v>Medio</v>
      </c>
      <c r="M95" s="8" t="str">
        <f>IFERROR(VLOOKUP($L95,'3. Escalas y Criterios'!$A$30:$C$34,3,FALSE),"")</f>
        <v>Mensual para elementos operativos; trimestral para elementos estructurales o de instalación</v>
      </c>
      <c r="N95" s="8" t="inlineStr">
        <is>
          <t>En cada apertura de contenedor sospechoso; auditoría del programa anual</t>
        </is>
      </c>
      <c r="O95" s="8" t="inlineStr">
        <is>
          <t>Resolución 0491 de 2020 / OSHA 1910.146</t>
        </is>
      </c>
      <c r="P95" s="8" t="inlineStr">
        <is>
          <t>HSE</t>
        </is>
      </c>
      <c r="Q95" s="19" t="n"/>
      <c r="R95" s="16" t="n"/>
      <c r="S95" s="16" t="n"/>
      <c r="T95" s="20" t="n"/>
    </row>
    <row r="96" ht="48" customHeight="1">
      <c r="A96" s="17" t="inlineStr">
        <is>
          <t>K-09</t>
        </is>
      </c>
      <c r="B96" s="29" t="inlineStr">
        <is>
          <t>K. Personas y seguridad y salud en el trabajo</t>
        </is>
      </c>
      <c r="C96" s="8" t="inlineStr">
        <is>
          <t>Primeros auxilios y atención médica</t>
        </is>
      </c>
      <c r="D96" s="8" t="inlineStr">
        <is>
          <t>Atención tardía o inadecuada de un lesionado</t>
        </is>
      </c>
      <c r="E96" s="8" t="inlineStr">
        <is>
          <t>Botiquines incompletos; camilla no disponible; sin brigada de primeros auxilios en el turno; ruta de evacuación médica no definida</t>
        </is>
      </c>
      <c r="F96" s="8" t="inlineStr">
        <is>
          <t>Agravamiento de la lesión, responsabilidad legal</t>
        </is>
      </c>
      <c r="G96" s="8" t="inlineStr">
        <is>
          <t>Verificar dotación de botiquines, camillas, DEA (si aplica), personal entrenado por turno y convenio con IPS/ambulancia</t>
        </is>
      </c>
      <c r="H96" s="8" t="inlineStr">
        <is>
          <t>Inventario de botiquines; certificados de primeros auxilios</t>
        </is>
      </c>
      <c r="I96" s="19" t="n">
        <v>3</v>
      </c>
      <c r="J96" s="19" t="n">
        <v>4</v>
      </c>
      <c r="K96" s="17">
        <f>IF(OR($I96="",$J96=""),"",$I96*$J96)</f>
        <v>12</v>
      </c>
      <c r="L96" s="17" t="str">
        <f>IF($K96="","",IF($K96&gt;=20,"Extremo",IF($K96&gt;=12,"Alto",IF($K96&gt;=6,"Medio",IF($K96&gt;=3,"Bajo","Muy bajo")))))</f>
        <v>Alto</v>
      </c>
      <c r="M96" s="8" t="str">
        <f>IFERROR(VLOOKUP($L96,'3. Escalas y Criterios'!$A$30:$C$34,3,FALSE),"")</f>
        <v>Semanal (verificación) + inspección formal mensual documentada</v>
      </c>
      <c r="N96" s="8" t="inlineStr">
        <is>
          <t>Mensual</t>
        </is>
      </c>
      <c r="O96" s="8" t="inlineStr">
        <is>
          <t>Resolución 0705 de 2007 / Decreto 1072 de 2015</t>
        </is>
      </c>
      <c r="P96" s="8" t="inlineStr">
        <is>
          <t>HSE / Brigada</t>
        </is>
      </c>
      <c r="Q96" s="19" t="n"/>
      <c r="R96" s="16" t="n"/>
      <c r="S96" s="16" t="n"/>
      <c r="T96" s="20" t="n"/>
    </row>
    <row r="97" ht="48" customHeight="1">
      <c r="A97" s="17" t="inlineStr">
        <is>
          <t>L-01</t>
        </is>
      </c>
      <c r="B97" s="30" t="inlineStr">
        <is>
          <t>L. Producto, calidad y sanidad</t>
        </is>
      </c>
      <c r="C97" s="8" t="inlineStr">
        <is>
          <t>Cadena de frío</t>
        </is>
      </c>
      <c r="D97" s="8" t="inlineStr">
        <is>
          <t>Ruptura de la cadena de frío en cámara, muelle o despacho</t>
        </is>
      </c>
      <c r="E97" s="8" t="inlineStr">
        <is>
          <t>Falla del equipo de refrigeración; puertas abiertas; producto en muelle sin control de tiempo; sensores descalibrados; corte de energía</t>
        </is>
      </c>
      <c r="F97" s="8" t="inlineStr">
        <is>
          <t>Pérdida total del lote, riesgo sanitario, sanción regulatoria y retiro de producto</t>
        </is>
      </c>
      <c r="G97" s="8" t="inlineStr">
        <is>
          <t>Verificar monitoreo continuo con alarmas, calibración de sensores, tiempos máximos en muelle, respaldo de energía y plan de contingencia con equipo alterno</t>
        </is>
      </c>
      <c r="H97" s="8" t="inlineStr">
        <is>
          <t>Registros de temperatura; certificados de calibración; plan de contingencia de frío</t>
        </is>
      </c>
      <c r="I97" s="19" t="n">
        <v>3</v>
      </c>
      <c r="J97" s="19" t="n">
        <v>5</v>
      </c>
      <c r="K97" s="17">
        <f>IF(OR($I97="",$J97=""),"",$I97*$J97)</f>
        <v>15</v>
      </c>
      <c r="L97" s="17" t="str">
        <f>IF($K97="","",IF($K97&gt;=20,"Extremo",IF($K97&gt;=12,"Alto",IF($K97&gt;=6,"Medio",IF($K97&gt;=3,"Bajo","Muy bajo")))))</f>
        <v>Alto</v>
      </c>
      <c r="M97" s="8" t="str">
        <f>IFERROR(VLOOKUP($L97,'3. Escalas y Criterios'!$A$30:$C$34,3,FALSE),"")</f>
        <v>Semanal (verificación) + inspección formal mensual documentada</v>
      </c>
      <c r="N97" s="8" t="inlineStr">
        <is>
          <t>Monitoreo continuo con revisión diaria; calibración anual de sensores; mantenimiento mensual</t>
        </is>
      </c>
      <c r="O97" s="8" t="inlineStr">
        <is>
          <t>BPM / HACCP / Resolución 2674 de 2013 / GDP para farmacéuticos</t>
        </is>
      </c>
      <c r="P97" s="8" t="inlineStr">
        <is>
          <t>Calidad / Mantenimiento</t>
        </is>
      </c>
      <c r="Q97" s="19" t="n"/>
      <c r="R97" s="16" t="n"/>
      <c r="S97" s="16" t="n"/>
      <c r="T97" s="20" t="n"/>
    </row>
    <row r="98" ht="42" customHeight="1">
      <c r="A98" s="17" t="inlineStr">
        <is>
          <t>L-02</t>
        </is>
      </c>
      <c r="B98" s="30" t="inlineStr">
        <is>
          <t>L. Producto, calidad y sanidad</t>
        </is>
      </c>
      <c r="C98" s="8" t="inlineStr">
        <is>
          <t>Control de plagas</t>
        </is>
      </c>
      <c r="D98" s="8" t="inlineStr">
        <is>
          <t>Infestación por roedores, insectos o aves</t>
        </is>
      </c>
      <c r="E98" s="8" t="inlineStr">
        <is>
          <t>Puntos de entrada sin sellar; residuos y derrames; producto vencido almacenado; muelles abiertos; entorno con vegetación</t>
        </is>
      </c>
      <c r="F98" s="8" t="inlineStr">
        <is>
          <t>Contaminación del producto, cierre sanitario, pérdida de certificación y de clientes</t>
        </is>
      </c>
      <c r="G98" s="8" t="inlineStr">
        <is>
          <t>Verificar programa MIP: mapa de estaciones, monitoreo de consumo, sellamiento de accesos, cortinas y control de aves</t>
        </is>
      </c>
      <c r="H98" s="8" t="inlineStr">
        <is>
          <t>Informes mensuales del proveedor MIP; mapa de estaciones; tendencia de capturas</t>
        </is>
      </c>
      <c r="I98" s="19" t="n">
        <v>3</v>
      </c>
      <c r="J98" s="19" t="n">
        <v>4</v>
      </c>
      <c r="K98" s="17">
        <f>IF(OR($I98="",$J98=""),"",$I98*$J98)</f>
        <v>12</v>
      </c>
      <c r="L98" s="17" t="str">
        <f>IF($K98="","",IF($K98&gt;=20,"Extremo",IF($K98&gt;=12,"Alto",IF($K98&gt;=6,"Medio",IF($K98&gt;=3,"Bajo","Muy bajo")))))</f>
        <v>Alto</v>
      </c>
      <c r="M98" s="8" t="str">
        <f>IFERROR(VLOOKUP($L98,'3. Escalas y Criterios'!$A$30:$C$34,3,FALSE),"")</f>
        <v>Semanal (verificación) + inspección formal mensual documentada</v>
      </c>
      <c r="N98" s="8" t="inlineStr">
        <is>
          <t>Mensual</t>
        </is>
      </c>
      <c r="O98" s="8" t="inlineStr">
        <is>
          <t>BPM / Resolución 2674 de 2013 / AIB</t>
        </is>
      </c>
      <c r="P98" s="8" t="inlineStr">
        <is>
          <t>Calidad</t>
        </is>
      </c>
      <c r="Q98" s="19" t="n"/>
      <c r="R98" s="16" t="n"/>
      <c r="S98" s="16" t="n"/>
      <c r="T98" s="20" t="n"/>
    </row>
    <row r="99" ht="42" customHeight="1">
      <c r="A99" s="17" t="inlineStr">
        <is>
          <t>L-03</t>
        </is>
      </c>
      <c r="B99" s="30" t="inlineStr">
        <is>
          <t>L. Producto, calidad y sanidad</t>
        </is>
      </c>
      <c r="C99" s="8" t="inlineStr">
        <is>
          <t>Segregación y contaminación cruzada</t>
        </is>
      </c>
      <c r="D99" s="8" t="inlineStr">
        <is>
          <t>Contacto o mezcla entre productos incompatibles</t>
        </is>
      </c>
      <c r="E99" s="8" t="inlineStr">
        <is>
          <t>Químicos junto a alimentos; alérgenos sin segregar; producto de devolución mezclado con disponible</t>
        </is>
      </c>
      <c r="F99" s="8" t="inlineStr">
        <is>
          <t>Intoxicación del consumidor, recall, responsabilidad civil y penal</t>
        </is>
      </c>
      <c r="G99" s="8" t="inlineStr">
        <is>
          <t>Verificar matriz de compatibilidad, zonificación física, señalización y reglas de ubicación parametrizadas en el WMS</t>
        </is>
      </c>
      <c r="H99" s="8" t="inlineStr">
        <is>
          <t>Matriz de compatibilidad; auditoría de ubicaciones</t>
        </is>
      </c>
      <c r="I99" s="19" t="n">
        <v>3</v>
      </c>
      <c r="J99" s="19" t="n">
        <v>5</v>
      </c>
      <c r="K99" s="17">
        <f>IF(OR($I99="",$J99=""),"",$I99*$J99)</f>
        <v>15</v>
      </c>
      <c r="L99" s="17" t="str">
        <f>IF($K99="","",IF($K99&gt;=20,"Extremo",IF($K99&gt;=12,"Alto",IF($K99&gt;=6,"Medio",IF($K99&gt;=3,"Bajo","Muy bajo")))))</f>
        <v>Alto</v>
      </c>
      <c r="M99" s="8" t="str">
        <f>IFERROR(VLOOKUP($L99,'3. Escalas y Criterios'!$A$30:$C$34,3,FALSE),"")</f>
        <v>Semanal (verificación) + inspección formal mensual documentada</v>
      </c>
      <c r="N99" s="8" t="inlineStr">
        <is>
          <t>Mensual</t>
        </is>
      </c>
      <c r="O99" s="8" t="inlineStr">
        <is>
          <t>BPM / HACCP / NFPA 400 (químicos)</t>
        </is>
      </c>
      <c r="P99" s="8" t="inlineStr">
        <is>
          <t>Calidad</t>
        </is>
      </c>
      <c r="Q99" s="19" t="n"/>
      <c r="R99" s="16" t="n"/>
      <c r="S99" s="16" t="n"/>
      <c r="T99" s="20" t="n"/>
    </row>
    <row r="100" ht="42" customHeight="1">
      <c r="A100" s="17" t="inlineStr">
        <is>
          <t>L-04</t>
        </is>
      </c>
      <c r="B100" s="30" t="inlineStr">
        <is>
          <t>L. Producto, calidad y sanidad</t>
        </is>
      </c>
      <c r="C100" s="8" t="inlineStr">
        <is>
          <t>Control de vencimientos (FEFO)</t>
        </is>
      </c>
      <c r="D100" s="8" t="inlineStr">
        <is>
          <t>Despacho de producto vencido o próximo a vencer</t>
        </is>
      </c>
      <c r="E100" s="8" t="inlineStr">
        <is>
          <t>FEFO no parametrizado; ubicaciones sin control de lote; producto oculto en niveles altos o al fondo</t>
        </is>
      </c>
      <c r="F100" s="8" t="inlineStr">
        <is>
          <t>Reclamos, devoluciones, sanción sanitaria, destrucción de inventario</t>
        </is>
      </c>
      <c r="G100" s="8" t="inlineStr">
        <is>
          <t>Verificar parametrización FEFO, reporte de próximos a vencer y bloqueo automático de lotes vencidos</t>
        </is>
      </c>
      <c r="H100" s="8" t="inlineStr">
        <is>
          <t>Reporte de vencimientos; política de retiro anticipado</t>
        </is>
      </c>
      <c r="I100" s="19" t="n">
        <v>3</v>
      </c>
      <c r="J100" s="19" t="n">
        <v>4</v>
      </c>
      <c r="K100" s="17">
        <f>IF(OR($I100="",$J100=""),"",$I100*$J100)</f>
        <v>12</v>
      </c>
      <c r="L100" s="17" t="str">
        <f>IF($K100="","",IF($K100&gt;=20,"Extremo",IF($K100&gt;=12,"Alto",IF($K100&gt;=6,"Medio",IF($K100&gt;=3,"Bajo","Muy bajo")))))</f>
        <v>Alto</v>
      </c>
      <c r="M100" s="8" t="str">
        <f>IFERROR(VLOOKUP($L100,'3. Escalas y Criterios'!$A$30:$C$34,3,FALSE),"")</f>
        <v>Semanal (verificación) + inspección formal mensual documentada</v>
      </c>
      <c r="N100" s="8" t="inlineStr">
        <is>
          <t>Semanal</t>
        </is>
      </c>
      <c r="O100" s="8" t="inlineStr">
        <is>
          <t>BPM / ISO 9001</t>
        </is>
      </c>
      <c r="P100" s="8" t="inlineStr">
        <is>
          <t>Calidad / Control de Inventarios</t>
        </is>
      </c>
      <c r="Q100" s="19" t="n"/>
      <c r="R100" s="16" t="n"/>
      <c r="S100" s="16" t="n"/>
      <c r="T100" s="20" t="n"/>
    </row>
    <row r="101" ht="48" customHeight="1">
      <c r="A101" s="17" t="inlineStr">
        <is>
          <t>L-05</t>
        </is>
      </c>
      <c r="B101" s="30" t="inlineStr">
        <is>
          <t>L. Producto, calidad y sanidad</t>
        </is>
      </c>
      <c r="C101" s="8" t="inlineStr">
        <is>
          <t>Mercancías peligrosas (MERPEL)</t>
        </is>
      </c>
      <c r="D101" s="8" t="inlineStr">
        <is>
          <t>Manejo inadecuado de sustancias químicas y mercancías peligrosas</t>
        </is>
      </c>
      <c r="E101" s="8" t="inlineStr">
        <is>
          <t>Clasificación ONU no identificada; falta de fichas de seguridad; segregación incorrecta; personal sin formación; sin kit de derrames</t>
        </is>
      </c>
      <c r="F101" s="8" t="inlineStr">
        <is>
          <t>Incendio, derrame, intoxicación, sanción ambiental y de transporte</t>
        </is>
      </c>
      <c r="G101" s="8" t="inlineStr">
        <is>
          <t>Verificar inventario clasificado por clase ONU, matriz de segregación, rotulado, FDS accesibles, kit de derrame y formación del personal</t>
        </is>
      </c>
      <c r="H101" s="8" t="inlineStr">
        <is>
          <t>Inventario de sustancias; FDS; certificados de formación en MERPEL</t>
        </is>
      </c>
      <c r="I101" s="19" t="n">
        <v>3</v>
      </c>
      <c r="J101" s="19" t="n">
        <v>5</v>
      </c>
      <c r="K101" s="17">
        <f>IF(OR($I101="",$J101=""),"",$I101*$J101)</f>
        <v>15</v>
      </c>
      <c r="L101" s="17" t="str">
        <f>IF($K101="","",IF($K101&gt;=20,"Extremo",IF($K101&gt;=12,"Alto",IF($K101&gt;=6,"Medio",IF($K101&gt;=3,"Bajo","Muy bajo")))))</f>
        <v>Alto</v>
      </c>
      <c r="M101" s="8" t="str">
        <f>IFERROR(VLOOKUP($L101,'3. Escalas y Criterios'!$A$30:$C$34,3,FALSE),"")</f>
        <v>Semanal (verificación) + inspección formal mensual documentada</v>
      </c>
      <c r="N101" s="8" t="inlineStr">
        <is>
          <t>Mensual</t>
        </is>
      </c>
      <c r="O101" s="8" t="inlineStr">
        <is>
          <t>Decreto 1609 de 2002 / NTC 1692 / SGA-GHS / NFPA 400</t>
        </is>
      </c>
      <c r="P101" s="8" t="inlineStr">
        <is>
          <t>HSE / Calidad</t>
        </is>
      </c>
      <c r="Q101" s="19" t="n"/>
      <c r="R101" s="16" t="n"/>
      <c r="S101" s="16" t="n"/>
      <c r="T101" s="20" t="n"/>
    </row>
    <row r="102" ht="42" customHeight="1">
      <c r="A102" s="17" t="inlineStr">
        <is>
          <t>L-06</t>
        </is>
      </c>
      <c r="B102" s="30" t="inlineStr">
        <is>
          <t>L. Producto, calidad y sanidad</t>
        </is>
      </c>
      <c r="C102" s="8" t="inlineStr">
        <is>
          <t>Derrames y gestión ambiental</t>
        </is>
      </c>
      <c r="D102" s="8" t="inlineStr">
        <is>
          <t>Derrame de sustancias o disposición inadecuada de residuos</t>
        </is>
      </c>
      <c r="E102" s="8" t="inlineStr">
        <is>
          <t>Ausencia de diques y kits; residuos peligrosos sin gestor autorizado; vertimientos sin control</t>
        </is>
      </c>
      <c r="F102" s="8" t="inlineStr">
        <is>
          <t>Contaminación, sanción ambiental, cierre temporal</t>
        </is>
      </c>
      <c r="G102" s="8" t="inlineStr">
        <is>
          <t>Verificar kits de derrame, contención, segregación de residuos, certificados del gestor autorizado y matriz de aspectos e impactos</t>
        </is>
      </c>
      <c r="H102" s="8" t="inlineStr">
        <is>
          <t>Certificados de disposición final; matriz ambiental; RESPEL</t>
        </is>
      </c>
      <c r="I102" s="19" t="n">
        <v>3</v>
      </c>
      <c r="J102" s="19" t="n">
        <v>3</v>
      </c>
      <c r="K102" s="17">
        <f>IF(OR($I102="",$J102=""),"",$I102*$J102)</f>
        <v>9</v>
      </c>
      <c r="L102" s="17" t="str">
        <f>IF($K102="","",IF($K102&gt;=20,"Extremo",IF($K102&gt;=12,"Alto",IF($K102&gt;=6,"Medio",IF($K102&gt;=3,"Bajo","Muy bajo")))))</f>
        <v>Medio</v>
      </c>
      <c r="M102" s="8" t="str">
        <f>IFERROR(VLOOKUP($L102,'3. Escalas y Criterios'!$A$30:$C$34,3,FALSE),"")</f>
        <v>Mensual para elementos operativos; trimestral para elementos estructurales o de instalación</v>
      </c>
      <c r="N102" s="8" t="inlineStr">
        <is>
          <t>Mensual</t>
        </is>
      </c>
      <c r="O102" s="8" t="inlineStr">
        <is>
          <t>Decreto 4741 de 2005 / ISO 14001</t>
        </is>
      </c>
      <c r="P102" s="8" t="inlineStr">
        <is>
          <t>HSE / Ambiental</t>
        </is>
      </c>
      <c r="Q102" s="19" t="n"/>
      <c r="R102" s="16" t="n"/>
      <c r="S102" s="16" t="n"/>
      <c r="T102" s="20" t="n"/>
    </row>
    <row r="103" ht="42" customHeight="1">
      <c r="A103" s="17" t="inlineStr">
        <is>
          <t>L-07</t>
        </is>
      </c>
      <c r="B103" s="30" t="inlineStr">
        <is>
          <t>L. Producto, calidad y sanidad</t>
        </is>
      </c>
      <c r="C103" s="8" t="inlineStr">
        <is>
          <t>Exactitud de inventario (ERI)</t>
        </is>
      </c>
      <c r="D103" s="8" t="inlineStr">
        <is>
          <t>Diferencias de inventario entre el sistema y el físico</t>
        </is>
      </c>
      <c r="E103" s="8" t="inlineStr">
        <is>
          <t>Errores de recibo y de picking; ubicaciones sin actualizar; hurto; falta de conteos cíclicos</t>
        </is>
      </c>
      <c r="F103" s="8" t="inlineStr">
        <is>
          <t>Quiebres de stock, incumplimiento de pedidos, ajustes contables, pérdida de confianza del cliente</t>
        </is>
      </c>
      <c r="G103" s="8" t="inlineStr">
        <is>
          <t>Verificar programa de conteos cíclicos por clasificación ABC, indicador ERI y análisis de causa de las diferencias</t>
        </is>
      </c>
      <c r="H103" s="8" t="inlineStr">
        <is>
          <t>Reporte de conteos cíclicos; indicador ERI; análisis de causa raíz</t>
        </is>
      </c>
      <c r="I103" s="19" t="n">
        <v>4</v>
      </c>
      <c r="J103" s="19" t="n">
        <v>3</v>
      </c>
      <c r="K103" s="17">
        <f>IF(OR($I103="",$J103=""),"",$I103*$J103)</f>
        <v>12</v>
      </c>
      <c r="L103" s="17" t="str">
        <f>IF($K103="","",IF($K103&gt;=20,"Extremo",IF($K103&gt;=12,"Alto",IF($K103&gt;=6,"Medio",IF($K103&gt;=3,"Bajo","Muy bajo")))))</f>
        <v>Alto</v>
      </c>
      <c r="M103" s="8" t="str">
        <f>IFERROR(VLOOKUP($L103,'3. Escalas y Criterios'!$A$30:$C$34,3,FALSE),"")</f>
        <v>Semanal (verificación) + inspección formal mensual documentada</v>
      </c>
      <c r="N103" s="8" t="inlineStr">
        <is>
          <t>Conteos cíclicos diarios (A), semanales/mensuales (B y C); inventario general anual</t>
        </is>
      </c>
      <c r="O103" s="8" t="inlineStr">
        <is>
          <t>Buena práctica / ISO 9001</t>
        </is>
      </c>
      <c r="P103" s="8" t="inlineStr">
        <is>
          <t>Control de Inventarios</t>
        </is>
      </c>
      <c r="Q103" s="19" t="n"/>
      <c r="R103" s="16" t="n"/>
      <c r="S103" s="16" t="n"/>
      <c r="T103" s="20" t="n"/>
    </row>
    <row r="104" ht="42" customHeight="1">
      <c r="A104" s="17" t="inlineStr">
        <is>
          <t>L-08</t>
        </is>
      </c>
      <c r="B104" s="30" t="inlineStr">
        <is>
          <t>L. Producto, calidad y sanidad</t>
        </is>
      </c>
      <c r="C104" s="8" t="inlineStr">
        <is>
          <t>Daño de producto en manipulación (merma)</t>
        </is>
      </c>
      <c r="D104" s="8" t="inlineStr">
        <is>
          <t>Avería del producto durante recibo, almacenamiento o despacho</t>
        </is>
      </c>
      <c r="E104" s="8" t="inlineStr">
        <is>
          <t>Manipulación brusca; estibado inadecuado; equipos en mal estado; empaque insuficiente para la altura de apilamiento</t>
        </is>
      </c>
      <c r="F104" s="8" t="inlineStr">
        <is>
          <t>Merma operativa, reclamos de clientes, sobrecosto</t>
        </is>
      </c>
      <c r="G104" s="8" t="inlineStr">
        <is>
          <t>Medir merma por causa y por proceso; verificar pruebas de resistencia del empaque y estándares de manipulación</t>
        </is>
      </c>
      <c r="H104" s="8" t="inlineStr">
        <is>
          <t>Indicador de averías por causa; estándar de manipulación por familia</t>
        </is>
      </c>
      <c r="I104" s="19" t="n">
        <v>4</v>
      </c>
      <c r="J104" s="19" t="n">
        <v>3</v>
      </c>
      <c r="K104" s="17">
        <f>IF(OR($I104="",$J104=""),"",$I104*$J104)</f>
        <v>12</v>
      </c>
      <c r="L104" s="17" t="str">
        <f>IF($K104="","",IF($K104&gt;=20,"Extremo",IF($K104&gt;=12,"Alto",IF($K104&gt;=6,"Medio",IF($K104&gt;=3,"Bajo","Muy bajo")))))</f>
        <v>Alto</v>
      </c>
      <c r="M104" s="8" t="str">
        <f>IFERROR(VLOOKUP($L104,'3. Escalas y Criterios'!$A$30:$C$34,3,FALSE),"")</f>
        <v>Semanal (verificación) + inspección formal mensual documentada</v>
      </c>
      <c r="N104" s="8" t="inlineStr">
        <is>
          <t>Semanal (KPI) + revisión mensual</t>
        </is>
      </c>
      <c r="O104" s="8" t="inlineStr">
        <is>
          <t>Buena práctica / ISO 9001</t>
        </is>
      </c>
      <c r="P104" s="8" t="inlineStr">
        <is>
          <t>Jefe de CEDI / Calidad</t>
        </is>
      </c>
      <c r="Q104" s="19" t="n"/>
      <c r="R104" s="16" t="n"/>
      <c r="S104" s="16" t="n"/>
      <c r="T104" s="20" t="n"/>
    </row>
    <row r="105" ht="42" customHeight="1">
      <c r="A105" s="17" t="inlineStr">
        <is>
          <t>L-09</t>
        </is>
      </c>
      <c r="B105" s="30" t="inlineStr">
        <is>
          <t>L. Producto, calidad y sanidad</t>
        </is>
      </c>
      <c r="C105" s="8" t="inlineStr">
        <is>
          <t>Humedad y condiciones de almacenamiento</t>
        </is>
      </c>
      <c r="D105" s="8" t="inlineStr">
        <is>
          <t>Deterioro de producto por humedad, condensación o contacto con piso y muros</t>
        </is>
      </c>
      <c r="E105" s="8" t="inlineStr">
        <is>
          <t>Producto sin estiba; contacto con muros; humedad relativa no controlada; filtraciones</t>
        </is>
      </c>
      <c r="F105" s="8" t="inlineStr">
        <is>
          <t>Pérdida de producto, contaminación por hongos, no conformidad sanitaria</t>
        </is>
      </c>
      <c r="G105" s="8" t="inlineStr">
        <is>
          <t>Verificar separación mínima de muros y piso (típicamente 50 cm de muro), control de humedad relativa y ausencia de filtraciones</t>
        </is>
      </c>
      <c r="H105" s="8" t="inlineStr">
        <is>
          <t>Registro de condiciones ambientales; auditoría BPM</t>
        </is>
      </c>
      <c r="I105" s="19" t="n">
        <v>3</v>
      </c>
      <c r="J105" s="19" t="n">
        <v>3</v>
      </c>
      <c r="K105" s="17">
        <f>IF(OR($I105="",$J105=""),"",$I105*$J105)</f>
        <v>9</v>
      </c>
      <c r="L105" s="17" t="str">
        <f>IF($K105="","",IF($K105&gt;=20,"Extremo",IF($K105&gt;=12,"Alto",IF($K105&gt;=6,"Medio",IF($K105&gt;=3,"Bajo","Muy bajo")))))</f>
        <v>Medio</v>
      </c>
      <c r="M105" s="8" t="str">
        <f>IFERROR(VLOOKUP($L105,'3. Escalas y Criterios'!$A$30:$C$34,3,FALSE),"")</f>
        <v>Mensual para elementos operativos; trimestral para elementos estructurales o de instalación</v>
      </c>
      <c r="N105" s="8" t="inlineStr">
        <is>
          <t>Mensual</t>
        </is>
      </c>
      <c r="O105" s="8" t="inlineStr">
        <is>
          <t>BPM / Resolución 2674 de 2013</t>
        </is>
      </c>
      <c r="P105" s="8" t="inlineStr">
        <is>
          <t>Calidad</t>
        </is>
      </c>
      <c r="Q105" s="19" t="n"/>
      <c r="R105" s="16" t="n"/>
      <c r="S105" s="16" t="n"/>
      <c r="T105" s="20" t="n"/>
    </row>
    <row r="106" ht="42" customHeight="1">
      <c r="A106" s="17" t="inlineStr">
        <is>
          <t>L-10</t>
        </is>
      </c>
      <c r="B106" s="30" t="inlineStr">
        <is>
          <t>L. Producto, calidad y sanidad</t>
        </is>
      </c>
      <c r="C106" s="8" t="inlineStr">
        <is>
          <t>Trazabilidad y retiro de producto (recall)</t>
        </is>
      </c>
      <c r="D106" s="8" t="inlineStr">
        <is>
          <t>Incapacidad de rastrear y retirar un lote de forma oportuna</t>
        </is>
      </c>
      <c r="E106" s="8" t="inlineStr">
        <is>
          <t>Registro de lote incompleto; trazabilidad rota en el picking; sin procedimiento probado</t>
        </is>
      </c>
      <c r="F106" s="8" t="inlineStr">
        <is>
          <t>Retiro masivo no focalizado, sanción regulatoria, daño reputacional grave</t>
        </is>
      </c>
      <c r="G106" s="8" t="inlineStr">
        <is>
          <t>Realizar simulacro de trazabilidad hacia adelante y hacia atrás midiendo el tiempo y el porcentaje de producto localizado</t>
        </is>
      </c>
      <c r="H106" s="8" t="inlineStr">
        <is>
          <t>Acta de simulacro de recall con tiempos y % de recuperación</t>
        </is>
      </c>
      <c r="I106" s="19" t="n">
        <v>2</v>
      </c>
      <c r="J106" s="19" t="n">
        <v>5</v>
      </c>
      <c r="K106" s="17">
        <f>IF(OR($I106="",$J106=""),"",$I106*$J106)</f>
        <v>10</v>
      </c>
      <c r="L106" s="17" t="str">
        <f>IF($K106="","",IF($K106&gt;=20,"Extremo",IF($K106&gt;=12,"Alto",IF($K106&gt;=6,"Medio",IF($K106&gt;=3,"Bajo","Muy bajo")))))</f>
        <v>Medio</v>
      </c>
      <c r="M106" s="8" t="str">
        <f>IFERROR(VLOOKUP($L106,'3. Escalas y Criterios'!$A$30:$C$34,3,FALSE),"")</f>
        <v>Mensual para elementos operativos; trimestral para elementos estructurales o de instalación</v>
      </c>
      <c r="N106" s="8" t="inlineStr">
        <is>
          <t>Anual (simulacro)</t>
        </is>
      </c>
      <c r="O106" s="8" t="inlineStr">
        <is>
          <t>ISO 22000 / BPM / requisitos del cliente</t>
        </is>
      </c>
      <c r="P106" s="8" t="inlineStr">
        <is>
          <t>Calidad</t>
        </is>
      </c>
      <c r="Q106" s="19" t="n"/>
      <c r="R106" s="16" t="n"/>
      <c r="S106" s="16" t="n"/>
      <c r="T106" s="20" t="n"/>
    </row>
    <row r="107" ht="42" customHeight="1">
      <c r="A107" s="17" t="inlineStr">
        <is>
          <t>M-01</t>
        </is>
      </c>
      <c r="B107" s="31" t="inlineStr">
        <is>
          <t>M. Operación y procesos</t>
        </is>
      </c>
      <c r="C107" s="8" t="inlineStr">
        <is>
          <t>Capacidad vs. demanda</t>
        </is>
      </c>
      <c r="D107" s="8" t="inlineStr">
        <is>
          <t>Cuello de botella en recibo, picking o despacho</t>
        </is>
      </c>
      <c r="E107" s="8" t="inlineStr">
        <is>
          <t>Crecimiento no planeado; layout inadecuado; equipos insuficientes; picos concentrados en pocas horas</t>
        </is>
      </c>
      <c r="F107" s="8" t="inlineStr">
        <is>
          <t>Incumplimiento del nivel de servicio, sobrecostos por horas extra, acumulación y desorden</t>
        </is>
      </c>
      <c r="G107" s="8" t="inlineStr">
        <is>
          <t>Modelar capacidad por proceso (unidades/hora) contra la demanda proyectada, e identificar la restricción</t>
        </is>
      </c>
      <c r="H107" s="8" t="inlineStr">
        <is>
          <t>Estudio de capacidad; balanceo de recursos; proyección de demanda</t>
        </is>
      </c>
      <c r="I107" s="19" t="n">
        <v>4</v>
      </c>
      <c r="J107" s="19" t="n">
        <v>3</v>
      </c>
      <c r="K107" s="17">
        <f>IF(OR($I107="",$J107=""),"",$I107*$J107)</f>
        <v>12</v>
      </c>
      <c r="L107" s="17" t="str">
        <f>IF($K107="","",IF($K107&gt;=20,"Extremo",IF($K107&gt;=12,"Alto",IF($K107&gt;=6,"Medio",IF($K107&gt;=3,"Bajo","Muy bajo")))))</f>
        <v>Alto</v>
      </c>
      <c r="M107" s="8" t="str">
        <f>IFERROR(VLOOKUP($L107,'3. Escalas y Criterios'!$A$30:$C$34,3,FALSE),"")</f>
        <v>Semanal (verificación) + inspección formal mensual documentada</v>
      </c>
      <c r="N107" s="8" t="inlineStr">
        <is>
          <t>Mensual (y ante cambio de demanda)</t>
        </is>
      </c>
      <c r="O107" s="8" t="inlineStr">
        <is>
          <t>Buena práctica</t>
        </is>
      </c>
      <c r="P107" s="8" t="inlineStr">
        <is>
          <t>Planeación / Jefe de CEDI</t>
        </is>
      </c>
      <c r="Q107" s="19" t="n"/>
      <c r="R107" s="16" t="n"/>
      <c r="S107" s="16" t="n"/>
      <c r="T107" s="20" t="n"/>
    </row>
    <row r="108" ht="42" customHeight="1">
      <c r="A108" s="17" t="inlineStr">
        <is>
          <t>M-02</t>
        </is>
      </c>
      <c r="B108" s="31" t="inlineStr">
        <is>
          <t>M. Operación y procesos</t>
        </is>
      </c>
      <c r="C108" s="8" t="inlineStr">
        <is>
          <t>Layout y flujos</t>
        </is>
      </c>
      <c r="D108" s="8" t="inlineStr">
        <is>
          <t>Flujos cruzados entre recibo, almacenamiento, picking y despacho</t>
        </is>
      </c>
      <c r="E108" s="8" t="inlineStr">
        <is>
          <t>Crecimiento por adición sin rediseño; zonas mal ubicadas; slotting no optimizado</t>
        </is>
      </c>
      <c r="F108" s="8" t="inlineStr">
        <is>
          <t>Mayor recorrido, congestión, accidentes, baja productividad</t>
        </is>
      </c>
      <c r="G108" s="8" t="inlineStr">
        <is>
          <t>Revisar diagrama de flujos, cruces críticos, distancias recorridas y coherencia del slotting con la rotación</t>
        </is>
      </c>
      <c r="H108" s="8" t="inlineStr">
        <is>
          <t>Plano de layout actualizado; análisis de recorridos y ABC de rotación</t>
        </is>
      </c>
      <c r="I108" s="19" t="n">
        <v>3</v>
      </c>
      <c r="J108" s="19" t="n">
        <v>3</v>
      </c>
      <c r="K108" s="17">
        <f>IF(OR($I108="",$J108=""),"",$I108*$J108)</f>
        <v>9</v>
      </c>
      <c r="L108" s="17" t="str">
        <f>IF($K108="","",IF($K108&gt;=20,"Extremo",IF($K108&gt;=12,"Alto",IF($K108&gt;=6,"Medio",IF($K108&gt;=3,"Bajo","Muy bajo")))))</f>
        <v>Medio</v>
      </c>
      <c r="M108" s="8" t="str">
        <f>IFERROR(VLOOKUP($L108,'3. Escalas y Criterios'!$A$30:$C$34,3,FALSE),"")</f>
        <v>Mensual para elementos operativos; trimestral para elementos estructurales o de instalación</v>
      </c>
      <c r="N108" s="8" t="inlineStr">
        <is>
          <t>Semestral</t>
        </is>
      </c>
      <c r="O108" s="8" t="inlineStr">
        <is>
          <t>Buena práctica</t>
        </is>
      </c>
      <c r="P108" s="8" t="inlineStr">
        <is>
          <t>Ingeniería / Jefe de CEDI</t>
        </is>
      </c>
      <c r="Q108" s="19" t="n"/>
      <c r="R108" s="16" t="n"/>
      <c r="S108" s="16" t="n"/>
      <c r="T108" s="20" t="n"/>
    </row>
    <row r="109" ht="42" customHeight="1">
      <c r="A109" s="17" t="inlineStr">
        <is>
          <t>M-03</t>
        </is>
      </c>
      <c r="B109" s="31" t="inlineStr">
        <is>
          <t>M. Operación y procesos</t>
        </is>
      </c>
      <c r="C109" s="8" t="inlineStr">
        <is>
          <t>Documentación de despacho</t>
        </is>
      </c>
      <c r="D109" s="8" t="inlineStr">
        <is>
          <t>Error documental o de facturación en el despacho</t>
        </is>
      </c>
      <c r="E109" s="8" t="inlineStr">
        <is>
          <t>Digitación manual; ausencia de doble verificación; presión por cerrar la ruta</t>
        </is>
      </c>
      <c r="F109" s="8" t="inlineStr">
        <is>
          <t>Devoluciones, sanciones tributarias o de tránsito, insatisfacción del cliente</t>
        </is>
      </c>
      <c r="G109" s="8" t="inlineStr">
        <is>
          <t>Verificar controles de validación documental y conciliación entre el físico, el WMS y la factura</t>
        </is>
      </c>
      <c r="H109" s="8" t="inlineStr">
        <is>
          <t>Indicador de pedidos perfectos; registro de no conformidades</t>
        </is>
      </c>
      <c r="I109" s="19" t="n">
        <v>3</v>
      </c>
      <c r="J109" s="19" t="n">
        <v>3</v>
      </c>
      <c r="K109" s="17">
        <f>IF(OR($I109="",$J109=""),"",$I109*$J109)</f>
        <v>9</v>
      </c>
      <c r="L109" s="17" t="str">
        <f>IF($K109="","",IF($K109&gt;=20,"Extremo",IF($K109&gt;=12,"Alto",IF($K109&gt;=6,"Medio",IF($K109&gt;=3,"Bajo","Muy bajo")))))</f>
        <v>Medio</v>
      </c>
      <c r="M109" s="8" t="str">
        <f>IFERROR(VLOOKUP($L109,'3. Escalas y Criterios'!$A$30:$C$34,3,FALSE),"")</f>
        <v>Mensual para elementos operativos; trimestral para elementos estructurales o de instalación</v>
      </c>
      <c r="N109" s="8" t="inlineStr">
        <is>
          <t>Semanal</t>
        </is>
      </c>
      <c r="O109" s="8" t="inlineStr">
        <is>
          <t>ISO 9001 / normativa tributaria</t>
        </is>
      </c>
      <c r="P109" s="8" t="inlineStr">
        <is>
          <t>Despachos</t>
        </is>
      </c>
      <c r="Q109" s="19" t="n"/>
      <c r="R109" s="16" t="n"/>
      <c r="S109" s="16" t="n"/>
      <c r="T109" s="20" t="n"/>
    </row>
    <row r="110" ht="42" customHeight="1">
      <c r="A110" s="17" t="inlineStr">
        <is>
          <t>M-04</t>
        </is>
      </c>
      <c r="B110" s="31" t="inlineStr">
        <is>
          <t>M. Operación y procesos</t>
        </is>
      </c>
      <c r="C110" s="8" t="inlineStr">
        <is>
          <t>Logística inversa y devoluciones</t>
        </is>
      </c>
      <c r="D110" s="8" t="inlineStr">
        <is>
          <t>Acumulación de devoluciones sin proceso ni área definida</t>
        </is>
      </c>
      <c r="E110" s="8" t="inlineStr">
        <is>
          <t>Sin zona asignada; sin criterio de disposición; sin recursos para clasificar</t>
        </is>
      </c>
      <c r="F110" s="8" t="inlineStr">
        <is>
          <t>Ocupación de capacidad útil, mezcla con inventario disponible, contaminación, deterioro del inventario</t>
        </is>
      </c>
      <c r="G110" s="8" t="inlineStr">
        <is>
          <t>Verificar área demarcada, tiempo máximo de permanencia, criterios de disposición y separación del inventario disponible</t>
        </is>
      </c>
      <c r="H110" s="8" t="inlineStr">
        <is>
          <t>Indicador de antigüedad de devoluciones; procedimiento de disposición</t>
        </is>
      </c>
      <c r="I110" s="19" t="n">
        <v>3</v>
      </c>
      <c r="J110" s="19" t="n">
        <v>3</v>
      </c>
      <c r="K110" s="17">
        <f>IF(OR($I110="",$J110=""),"",$I110*$J110)</f>
        <v>9</v>
      </c>
      <c r="L110" s="17" t="str">
        <f>IF($K110="","",IF($K110&gt;=20,"Extremo",IF($K110&gt;=12,"Alto",IF($K110&gt;=6,"Medio",IF($K110&gt;=3,"Bajo","Muy bajo")))))</f>
        <v>Medio</v>
      </c>
      <c r="M110" s="8" t="str">
        <f>IFERROR(VLOOKUP($L110,'3. Escalas y Criterios'!$A$30:$C$34,3,FALSE),"")</f>
        <v>Mensual para elementos operativos; trimestral para elementos estructurales o de instalación</v>
      </c>
      <c r="N110" s="8" t="inlineStr">
        <is>
          <t>Mensual</t>
        </is>
      </c>
      <c r="O110" s="8" t="inlineStr">
        <is>
          <t>Buena práctica</t>
        </is>
      </c>
      <c r="P110" s="8" t="inlineStr">
        <is>
          <t>Jefe de CEDI / Calidad</t>
        </is>
      </c>
      <c r="Q110" s="19" t="n"/>
      <c r="R110" s="16" t="n"/>
      <c r="S110" s="16" t="n"/>
      <c r="T110" s="20" t="n"/>
    </row>
    <row r="111" ht="42" customHeight="1">
      <c r="A111" s="17" t="inlineStr">
        <is>
          <t>M-05</t>
        </is>
      </c>
      <c r="B111" s="31" t="inlineStr">
        <is>
          <t>M. Operación y procesos</t>
        </is>
      </c>
      <c r="C111" s="8" t="inlineStr">
        <is>
          <t>Gestión del desempeño</t>
        </is>
      </c>
      <c r="D111" s="8" t="inlineStr">
        <is>
          <t>Ausencia de indicadores y de gestión visual del riesgo</t>
        </is>
      </c>
      <c r="E111" s="8" t="inlineStr">
        <is>
          <t>Sin tablero de control; datos no confiables; reuniones sin seguimiento de acciones</t>
        </is>
      </c>
      <c r="F111" s="8" t="inlineStr">
        <is>
          <t>Riesgos que se materializan sin señales tempranas; acciones sin cierre</t>
        </is>
      </c>
      <c r="G111" s="8" t="inlineStr">
        <is>
          <t>Verificar tablero con indicadores de seguridad, calidad, productividad y riesgo, con revisión periódica documentada</t>
        </is>
      </c>
      <c r="H111" s="8" t="inlineStr">
        <is>
          <t>Tablero de indicadores; actas de reunión con compromisos y cierre</t>
        </is>
      </c>
      <c r="I111" s="19" t="n">
        <v>3</v>
      </c>
      <c r="J111" s="19" t="n">
        <v>3</v>
      </c>
      <c r="K111" s="17">
        <f>IF(OR($I111="",$J111=""),"",$I111*$J111)</f>
        <v>9</v>
      </c>
      <c r="L111" s="17" t="str">
        <f>IF($K111="","",IF($K111&gt;=20,"Extremo",IF($K111&gt;=12,"Alto",IF($K111&gt;=6,"Medio",IF($K111&gt;=3,"Bajo","Muy bajo")))))</f>
        <v>Medio</v>
      </c>
      <c r="M111" s="8" t="str">
        <f>IFERROR(VLOOKUP($L111,'3. Escalas y Criterios'!$A$30:$C$34,3,FALSE),"")</f>
        <v>Mensual para elementos operativos; trimestral para elementos estructurales o de instalación</v>
      </c>
      <c r="N111" s="8" t="inlineStr">
        <is>
          <t>Mensual</t>
        </is>
      </c>
      <c r="O111" s="8" t="inlineStr">
        <is>
          <t>ISO 9001 / ISO 31000</t>
        </is>
      </c>
      <c r="P111" s="8" t="inlineStr">
        <is>
          <t>Jefe de CEDI</t>
        </is>
      </c>
      <c r="Q111" s="19" t="n"/>
      <c r="R111" s="16" t="n"/>
      <c r="S111" s="16" t="n"/>
      <c r="T111" s="20" t="n"/>
    </row>
    <row r="112" ht="48" customHeight="1">
      <c r="A112" s="17" t="inlineStr">
        <is>
          <t>N-01</t>
        </is>
      </c>
      <c r="B112" s="32" t="inlineStr">
        <is>
          <t>N. Terceros, contratistas y proveedores</t>
        </is>
      </c>
      <c r="C112" s="8" t="inlineStr">
        <is>
          <t>Contratistas en sitio</t>
        </is>
      </c>
      <c r="D112" s="8" t="inlineStr">
        <is>
          <t>Accidente o siniestro causado por contratistas</t>
        </is>
      </c>
      <c r="E112" s="8" t="inlineStr">
        <is>
          <t>Ingreso sin verificación de afiliación a seguridad social; sin inducción; trabajos de alto riesgo sin permiso; supervisión ausente</t>
        </is>
      </c>
      <c r="F112" s="8" t="inlineStr">
        <is>
          <t>Accidente grave, responsabilidad solidaria del contratante, incendio por trabajos en caliente</t>
        </is>
      </c>
      <c r="G112" s="8" t="inlineStr">
        <is>
          <t>Verificar homologación documental, inducción previa, permisos de trabajo y supervisión durante la ejecución</t>
        </is>
      </c>
      <c r="H112" s="8" t="inlineStr">
        <is>
          <t>Carpeta de contratista; permisos de trabajo; registro de inducción</t>
        </is>
      </c>
      <c r="I112" s="19" t="n">
        <v>3</v>
      </c>
      <c r="J112" s="19" t="n">
        <v>5</v>
      </c>
      <c r="K112" s="17">
        <f>IF(OR($I112="",$J112=""),"",$I112*$J112)</f>
        <v>15</v>
      </c>
      <c r="L112" s="17" t="str">
        <f>IF($K112="","",IF($K112&gt;=20,"Extremo",IF($K112&gt;=12,"Alto",IF($K112&gt;=6,"Medio",IF($K112&gt;=3,"Bajo","Muy bajo")))))</f>
        <v>Alto</v>
      </c>
      <c r="M112" s="8" t="str">
        <f>IFERROR(VLOOKUP($L112,'3. Escalas y Criterios'!$A$30:$C$34,3,FALSE),"")</f>
        <v>Semanal (verificación) + inspección formal mensual documentada</v>
      </c>
      <c r="N112" s="8" t="inlineStr">
        <is>
          <t>En cada ingreso; auditoría del programa mensual</t>
        </is>
      </c>
      <c r="O112" s="8" t="inlineStr">
        <is>
          <t>Decreto 1072 de 2015 / SG-SST</t>
        </is>
      </c>
      <c r="P112" s="8" t="inlineStr">
        <is>
          <t>HSE / Compras</t>
        </is>
      </c>
      <c r="Q112" s="19" t="n"/>
      <c r="R112" s="16" t="n"/>
      <c r="S112" s="16" t="n"/>
      <c r="T112" s="20" t="n"/>
    </row>
    <row r="113" ht="42" customHeight="1">
      <c r="A113" s="17" t="inlineStr">
        <is>
          <t>N-02</t>
        </is>
      </c>
      <c r="B113" s="32" t="inlineStr">
        <is>
          <t>N. Terceros, contratistas y proveedores</t>
        </is>
      </c>
      <c r="C113" s="8" t="inlineStr">
        <is>
          <t>Montaje y modificación de estantería</t>
        </is>
      </c>
      <c r="D113" s="8" t="inlineStr">
        <is>
          <t>Montaje o reconfiguración realizada por personal no calificado</t>
        </is>
      </c>
      <c r="E113" s="8" t="inlineStr">
        <is>
          <t>Ahorro de costos; personal interno improvisado; ausencia de plano aprobado y de protocolo de torque</t>
        </is>
      </c>
      <c r="F113" s="8" t="inlineStr">
        <is>
          <t>Colapso posterior de la estantería</t>
        </is>
      </c>
      <c r="G113" s="8" t="inlineStr">
        <is>
          <t>Exigir instalador calificado, plano aprobado, protocolo de montaje y acta de entrega con memoria de cálculo</t>
        </is>
      </c>
      <c r="H113" s="8" t="inlineStr">
        <is>
          <t>Acta de montaje; certificado del instalador; plano as-built</t>
        </is>
      </c>
      <c r="I113" s="19" t="n">
        <v>2</v>
      </c>
      <c r="J113" s="19" t="n">
        <v>5</v>
      </c>
      <c r="K113" s="17">
        <f>IF(OR($I113="",$J113=""),"",$I113*$J113)</f>
        <v>10</v>
      </c>
      <c r="L113" s="17" t="str">
        <f>IF($K113="","",IF($K113&gt;=20,"Extremo",IF($K113&gt;=12,"Alto",IF($K113&gt;=6,"Medio",IF($K113&gt;=3,"Bajo","Muy bajo")))))</f>
        <v>Medio</v>
      </c>
      <c r="M113" s="8" t="str">
        <f>IFERROR(VLOOKUP($L113,'3. Escalas y Criterios'!$A$30:$C$34,3,FALSE),"")</f>
        <v>Mensual para elementos operativos; trimestral para elementos estructurales o de instalación</v>
      </c>
      <c r="N113" s="8" t="inlineStr">
        <is>
          <t>En cada proyecto + verificación anual</t>
        </is>
      </c>
      <c r="O113" s="8" t="inlineStr">
        <is>
          <t>EN 15629 / EN 15635</t>
        </is>
      </c>
      <c r="P113" s="8" t="inlineStr">
        <is>
          <t>Ingeniería / Compras</t>
        </is>
      </c>
      <c r="Q113" s="19" t="n"/>
      <c r="R113" s="16" t="n"/>
      <c r="S113" s="16" t="n"/>
      <c r="T113" s="20" t="n"/>
    </row>
    <row r="114" ht="42" customHeight="1">
      <c r="A114" s="17" t="inlineStr">
        <is>
          <t>N-03</t>
        </is>
      </c>
      <c r="B114" s="32" t="inlineStr">
        <is>
          <t>N. Terceros, contratistas y proveedores</t>
        </is>
      </c>
      <c r="C114" s="8" t="inlineStr">
        <is>
          <t>Operador logístico (3PL) y personal en misión</t>
        </is>
      </c>
      <c r="D114" s="8" t="inlineStr">
        <is>
          <t>Incumplimiento del tercero en seguridad, calidad o nivel de servicio</t>
        </is>
      </c>
      <c r="E114" s="8" t="inlineStr">
        <is>
          <t>Contrato sin SLA ni requisitos de HSE; sin auditoría; rotación alta del tercero</t>
        </is>
      </c>
      <c r="F114" s="8" t="inlineStr">
        <is>
          <t>Pérdida de control operativo, accidentes, incumplimiento con el cliente final</t>
        </is>
      </c>
      <c r="G114" s="8" t="inlineStr">
        <is>
          <t>Verificar contrato con indicadores y requisitos de HSE, plan de auditoría y evaluación periódica del proveedor</t>
        </is>
      </c>
      <c r="H114" s="8" t="inlineStr">
        <is>
          <t>Contrato con SLA; informes de auditoría; evaluación de proveedores</t>
        </is>
      </c>
      <c r="I114" s="19" t="n">
        <v>3</v>
      </c>
      <c r="J114" s="19" t="n">
        <v>4</v>
      </c>
      <c r="K114" s="17">
        <f>IF(OR($I114="",$J114=""),"",$I114*$J114)</f>
        <v>12</v>
      </c>
      <c r="L114" s="17" t="str">
        <f>IF($K114="","",IF($K114&gt;=20,"Extremo",IF($K114&gt;=12,"Alto",IF($K114&gt;=6,"Medio",IF($K114&gt;=3,"Bajo","Muy bajo")))))</f>
        <v>Alto</v>
      </c>
      <c r="M114" s="8" t="str">
        <f>IFERROR(VLOOKUP($L114,'3. Escalas y Criterios'!$A$30:$C$34,3,FALSE),"")</f>
        <v>Semanal (verificación) + inspección formal mensual documentada</v>
      </c>
      <c r="N114" s="8" t="inlineStr">
        <is>
          <t>Trimestral (evaluación) + auditoría anual</t>
        </is>
      </c>
      <c r="O114" s="8" t="inlineStr">
        <is>
          <t>ISO 9001 / ISO 45001</t>
        </is>
      </c>
      <c r="P114" s="8" t="inlineStr">
        <is>
          <t>Compras / Jefe de CEDI</t>
        </is>
      </c>
      <c r="Q114" s="19" t="n"/>
      <c r="R114" s="16" t="n"/>
      <c r="S114" s="16" t="n"/>
      <c r="T114" s="20" t="n"/>
    </row>
    <row r="115" ht="42" customHeight="1">
      <c r="A115" s="17" t="inlineStr">
        <is>
          <t>N-04</t>
        </is>
      </c>
      <c r="B115" s="32" t="inlineStr">
        <is>
          <t>N. Terceros, contratistas y proveedores</t>
        </is>
      </c>
      <c r="C115" s="8" t="inlineStr">
        <is>
          <t>Transportistas</t>
        </is>
      </c>
      <c r="D115" s="8" t="inlineStr">
        <is>
          <t>Vehículos o conductores que no cumplen requisitos</t>
        </is>
      </c>
      <c r="E115" s="8" t="inlineStr">
        <is>
          <t>Vehículos sin mantenimiento; conductores sin licencia vigente; sin pólizas; carga mal asegurada</t>
        </is>
      </c>
      <c r="F115" s="8" t="inlineStr">
        <is>
          <t>Accidente en vía, pérdida de la carga, responsabilidad solidaria</t>
        </is>
      </c>
      <c r="G115" s="8" t="inlineStr">
        <is>
          <t>Verificar documentación del vehículo y del conductor, pólizas, y estado del vehículo antes del cargue (lista de verificación de aptitud)</t>
        </is>
      </c>
      <c r="H115" s="8" t="inlineStr">
        <is>
          <t>Checklist de aptitud del vehículo; matriz documental de transportistas</t>
        </is>
      </c>
      <c r="I115" s="19" t="n">
        <v>3</v>
      </c>
      <c r="J115" s="19" t="n">
        <v>4</v>
      </c>
      <c r="K115" s="17">
        <f>IF(OR($I115="",$J115=""),"",$I115*$J115)</f>
        <v>12</v>
      </c>
      <c r="L115" s="17" t="str">
        <f>IF($K115="","",IF($K115&gt;=20,"Extremo",IF($K115&gt;=12,"Alto",IF($K115&gt;=6,"Medio",IF($K115&gt;=3,"Bajo","Muy bajo")))))</f>
        <v>Alto</v>
      </c>
      <c r="M115" s="8" t="str">
        <f>IFERROR(VLOOKUP($L115,'3. Escalas y Criterios'!$A$30:$C$34,3,FALSE),"")</f>
        <v>Semanal (verificación) + inspección formal mensual documentada</v>
      </c>
      <c r="N115" s="8" t="inlineStr">
        <is>
          <t>En cada cargue (checklist) + revisión documental mensual</t>
        </is>
      </c>
      <c r="O115" s="8" t="inlineStr">
        <is>
          <t>Normativa de transporte de carga aplicable</t>
        </is>
      </c>
      <c r="P115" s="8" t="inlineStr">
        <is>
          <t>Despachos / Seguridad Física</t>
        </is>
      </c>
      <c r="Q115" s="19" t="n"/>
      <c r="R115" s="16" t="n"/>
      <c r="S115" s="16" t="n"/>
      <c r="T115" s="20" t="n"/>
    </row>
    <row r="116" ht="42" customHeight="1">
      <c r="A116" s="17" t="inlineStr">
        <is>
          <t>O-01</t>
        </is>
      </c>
      <c r="B116" s="33" t="inlineStr">
        <is>
          <t>O. Legal, financiero y continuidad</t>
        </is>
      </c>
      <c r="C116" s="8" t="inlineStr">
        <is>
          <t>Permisos y licencias</t>
        </is>
      </c>
      <c r="D116" s="8" t="inlineStr">
        <is>
          <t>Operación con permisos vencidos o inexistentes</t>
        </is>
      </c>
      <c r="E116" s="8" t="inlineStr">
        <is>
          <t>Concepto de bomberos, uso de suelo, licencia sanitaria o permiso ambiental vencidos; cambio de actividad sin actualizar</t>
        </is>
      </c>
      <c r="F116" s="8" t="inlineStr">
        <is>
          <t>Cierre del establecimiento, multas, invalidación de la póliza</t>
        </is>
      </c>
      <c r="G116" s="8" t="inlineStr">
        <is>
          <t>Verificar matriz de requisitos legales con fecha de vencimiento y responsable de renovación</t>
        </is>
      </c>
      <c r="H116" s="8" t="inlineStr">
        <is>
          <t>Matriz legal actualizada; copia de los permisos vigentes</t>
        </is>
      </c>
      <c r="I116" s="19" t="n">
        <v>2</v>
      </c>
      <c r="J116" s="19" t="n">
        <v>5</v>
      </c>
      <c r="K116" s="17">
        <f>IF(OR($I116="",$J116=""),"",$I116*$J116)</f>
        <v>10</v>
      </c>
      <c r="L116" s="17" t="str">
        <f>IF($K116="","",IF($K116&gt;=20,"Extremo",IF($K116&gt;=12,"Alto",IF($K116&gt;=6,"Medio",IF($K116&gt;=3,"Bajo","Muy bajo")))))</f>
        <v>Medio</v>
      </c>
      <c r="M116" s="8" t="str">
        <f>IFERROR(VLOOKUP($L116,'3. Escalas y Criterios'!$A$30:$C$34,3,FALSE),"")</f>
        <v>Mensual para elementos operativos; trimestral para elementos estructurales o de instalación</v>
      </c>
      <c r="N116" s="8" t="inlineStr">
        <is>
          <t>Revisión trimestral de la matriz; renovación anual</t>
        </is>
      </c>
      <c r="O116" s="8" t="inlineStr">
        <is>
          <t>Normativa local aplicable / ISO 14001 / SG-SST</t>
        </is>
      </c>
      <c r="P116" s="8" t="inlineStr">
        <is>
          <t>Gerencia / HSE</t>
        </is>
      </c>
      <c r="Q116" s="19" t="n"/>
      <c r="R116" s="16" t="n"/>
      <c r="S116" s="16" t="n"/>
      <c r="T116" s="20" t="n"/>
    </row>
    <row r="117" ht="48" customHeight="1">
      <c r="A117" s="17" t="inlineStr">
        <is>
          <t>O-02</t>
        </is>
      </c>
      <c r="B117" s="33" t="inlineStr">
        <is>
          <t>O. Legal, financiero y continuidad</t>
        </is>
      </c>
      <c r="C117" s="8" t="inlineStr">
        <is>
          <t>Póliza y valores asegurados</t>
        </is>
      </c>
      <c r="D117" s="8" t="inlineStr">
        <is>
          <t>Cobertura insuficiente o siniestro no indemnizado</t>
        </is>
      </c>
      <c r="E117" s="8" t="inlineStr">
        <is>
          <t>Valores desactualizados; incumplimiento de garantías de la póliza (sistemas contra incendio operativos); deducibles altos; sin cobertura de lucro cesante</t>
        </is>
      </c>
      <c r="F117" s="8" t="inlineStr">
        <is>
          <t>Pérdida económica no recuperable, inviabilidad del negocio tras un siniestro mayor</t>
        </is>
      </c>
      <c r="G117" s="8" t="inlineStr">
        <is>
          <t>Verificar valores asegurados vs. valor de reposición, garantías de la póliza, cobertura de lucro cesante y recomendaciones de la aseguradora cerradas</t>
        </is>
      </c>
      <c r="H117" s="8" t="inlineStr">
        <is>
          <t>Carátula de póliza; informe de inspección de la aseguradora con plan de cierre</t>
        </is>
      </c>
      <c r="I117" s="19" t="n">
        <v>2</v>
      </c>
      <c r="J117" s="19" t="n">
        <v>5</v>
      </c>
      <c r="K117" s="17">
        <f>IF(OR($I117="",$J117=""),"",$I117*$J117)</f>
        <v>10</v>
      </c>
      <c r="L117" s="17" t="str">
        <f>IF($K117="","",IF($K117&gt;=20,"Extremo",IF($K117&gt;=12,"Alto",IF($K117&gt;=6,"Medio",IF($K117&gt;=3,"Bajo","Muy bajo")))))</f>
        <v>Medio</v>
      </c>
      <c r="M117" s="8" t="str">
        <f>IFERROR(VLOOKUP($L117,'3. Escalas y Criterios'!$A$30:$C$34,3,FALSE),"")</f>
        <v>Mensual para elementos operativos; trimestral para elementos estructurales o de instalación</v>
      </c>
      <c r="N117" s="8" t="inlineStr">
        <is>
          <t>Anual (renovación) + ante cambios relevantes de inventario o infraestructura</t>
        </is>
      </c>
      <c r="O117" s="8" t="inlineStr">
        <is>
          <t>Condiciones de la póliza</t>
        </is>
      </c>
      <c r="P117" s="8" t="inlineStr">
        <is>
          <t>Finanzas / Gerencia</t>
        </is>
      </c>
      <c r="Q117" s="19" t="n"/>
      <c r="R117" s="16" t="n"/>
      <c r="S117" s="16" t="n"/>
      <c r="T117" s="20" t="n"/>
    </row>
    <row r="118" ht="48" customHeight="1">
      <c r="A118" s="17" t="inlineStr">
        <is>
          <t>O-03</t>
        </is>
      </c>
      <c r="B118" s="33" t="inlineStr">
        <is>
          <t>O. Legal, financiero y continuidad</t>
        </is>
      </c>
      <c r="C118" s="8" t="inlineStr">
        <is>
          <t>Cumplimiento SG-SST</t>
        </is>
      </c>
      <c r="D118" s="8" t="inlineStr">
        <is>
          <t>Incumplimiento de los estándares mínimos del sistema de gestión</t>
        </is>
      </c>
      <c r="E118" s="8" t="inlineStr">
        <is>
          <t>Autoevaluación no realizada; plan de trabajo anual sin ejecutar; COPASST o comités inactivos; investigaciones de accidentes incompletas</t>
        </is>
      </c>
      <c r="F118" s="8" t="inlineStr">
        <is>
          <t>Multas, cierre, agravación de responsabilidad ante un accidente</t>
        </is>
      </c>
      <c r="G118" s="8" t="inlineStr">
        <is>
          <t>Verificar autoevaluación de estándares mínimos, plan de trabajo anual con ejecución y funcionamiento de los comités</t>
        </is>
      </c>
      <c r="H118" s="8" t="inlineStr">
        <is>
          <t>Autoevaluación; plan de trabajo anual; actas de comités</t>
        </is>
      </c>
      <c r="I118" s="19" t="n">
        <v>3</v>
      </c>
      <c r="J118" s="19" t="n">
        <v>4</v>
      </c>
      <c r="K118" s="17">
        <f>IF(OR($I118="",$J118=""),"",$I118*$J118)</f>
        <v>12</v>
      </c>
      <c r="L118" s="17" t="str">
        <f>IF($K118="","",IF($K118&gt;=20,"Extremo",IF($K118&gt;=12,"Alto",IF($K118&gt;=6,"Medio",IF($K118&gt;=3,"Bajo","Muy bajo")))))</f>
        <v>Alto</v>
      </c>
      <c r="M118" s="8" t="str">
        <f>IFERROR(VLOOKUP($L118,'3. Escalas y Criterios'!$A$30:$C$34,3,FALSE),"")</f>
        <v>Semanal (verificación) + inspección formal mensual documentada</v>
      </c>
      <c r="N118" s="8" t="inlineStr">
        <is>
          <t>Autoevaluación anual; seguimiento trimestral del plan</t>
        </is>
      </c>
      <c r="O118" s="8" t="inlineStr">
        <is>
          <t>Resolución 0312 de 2019 / Decreto 1072 de 2015</t>
        </is>
      </c>
      <c r="P118" s="8" t="inlineStr">
        <is>
          <t>HSE</t>
        </is>
      </c>
      <c r="Q118" s="19" t="n"/>
      <c r="R118" s="16" t="n"/>
      <c r="S118" s="16" t="n"/>
      <c r="T118" s="20" t="n"/>
    </row>
    <row r="119" ht="42" customHeight="1">
      <c r="A119" s="17" t="inlineStr">
        <is>
          <t>O-04</t>
        </is>
      </c>
      <c r="B119" s="33" t="inlineStr">
        <is>
          <t>O. Legal, financiero y continuidad</t>
        </is>
      </c>
      <c r="C119" s="8" t="inlineStr">
        <is>
          <t>Plan de continuidad del negocio (BCP)</t>
        </is>
      </c>
      <c r="D119" s="8" t="inlineStr">
        <is>
          <t>Ausencia de plan de continuidad ante pérdida del CEDI</t>
        </is>
      </c>
      <c r="E119" s="8" t="inlineStr">
        <is>
          <t>Sin análisis de impacto (BIA); sin sitio alterno ni acuerdos de almacenamiento de emergencia; RTO/RPO no definidos</t>
        </is>
      </c>
      <c r="F119" s="8" t="inlineStr">
        <is>
          <t>Interrupción prolongada del abastecimiento, pérdida de clientes y de participación de mercado</t>
        </is>
      </c>
      <c r="G119" s="8" t="inlineStr">
        <is>
          <t>Verificar BIA, definición de RTO/RPO, estrategias de recuperación, acuerdos con terceros y prueba del plan</t>
        </is>
      </c>
      <c r="H119" s="8" t="inlineStr">
        <is>
          <t>Documento BCP; acta de prueba; BIA</t>
        </is>
      </c>
      <c r="I119" s="19" t="n">
        <v>3</v>
      </c>
      <c r="J119" s="19" t="n">
        <v>5</v>
      </c>
      <c r="K119" s="17">
        <f>IF(OR($I119="",$J119=""),"",$I119*$J119)</f>
        <v>15</v>
      </c>
      <c r="L119" s="17" t="str">
        <f>IF($K119="","",IF($K119&gt;=20,"Extremo",IF($K119&gt;=12,"Alto",IF($K119&gt;=6,"Medio",IF($K119&gt;=3,"Bajo","Muy bajo")))))</f>
        <v>Alto</v>
      </c>
      <c r="M119" s="8" t="str">
        <f>IFERROR(VLOOKUP($L119,'3. Escalas y Criterios'!$A$30:$C$34,3,FALSE),"")</f>
        <v>Semanal (verificación) + inspección formal mensual documentada</v>
      </c>
      <c r="N119" s="8" t="inlineStr">
        <is>
          <t>Revisión anual + prueba al menos anual</t>
        </is>
      </c>
      <c r="O119" s="8" t="inlineStr">
        <is>
          <t>ISO 22301</t>
        </is>
      </c>
      <c r="P119" s="8" t="inlineStr">
        <is>
          <t>Gerencia / Jefe de CEDI</t>
        </is>
      </c>
      <c r="Q119" s="19" t="n"/>
      <c r="R119" s="16" t="n"/>
      <c r="S119" s="16" t="n"/>
      <c r="T119" s="20" t="n"/>
    </row>
    <row r="120" ht="42" customHeight="1">
      <c r="A120" s="17" t="inlineStr">
        <is>
          <t>O-05</t>
        </is>
      </c>
      <c r="B120" s="33" t="inlineStr">
        <is>
          <t>O. Legal, financiero y continuidad</t>
        </is>
      </c>
      <c r="C120" s="8" t="inlineStr">
        <is>
          <t>Concentración en un solo nodo</t>
        </is>
      </c>
      <c r="D120" s="8" t="inlineStr">
        <is>
          <t>Dependencia de un único centro de distribución para toda la red</t>
        </is>
      </c>
      <c r="E120" s="8" t="inlineStr">
        <is>
          <t>Estrategia de centralización sin plan alterno; inventario sin duplicidad estratégica</t>
        </is>
      </c>
      <c r="F120" s="8" t="inlineStr">
        <is>
          <t>Un solo siniestro detiene el 100% del abastecimiento</t>
        </is>
      </c>
      <c r="G120" s="8" t="inlineStr">
        <is>
          <t>Evaluar escenario de pérdida total del CEDI, alternativas de red y tiempo de recuperación del servicio</t>
        </is>
      </c>
      <c r="H120" s="8" t="inlineStr">
        <is>
          <t>Análisis de escenario; estrategia de red logística</t>
        </is>
      </c>
      <c r="I120" s="19" t="n">
        <v>2</v>
      </c>
      <c r="J120" s="19" t="n">
        <v>5</v>
      </c>
      <c r="K120" s="17">
        <f>IF(OR($I120="",$J120=""),"",$I120*$J120)</f>
        <v>10</v>
      </c>
      <c r="L120" s="17" t="str">
        <f>IF($K120="","",IF($K120&gt;=20,"Extremo",IF($K120&gt;=12,"Alto",IF($K120&gt;=6,"Medio",IF($K120&gt;=3,"Bajo","Muy bajo")))))</f>
        <v>Medio</v>
      </c>
      <c r="M120" s="8" t="str">
        <f>IFERROR(VLOOKUP($L120,'3. Escalas y Criterios'!$A$30:$C$34,3,FALSE),"")</f>
        <v>Mensual para elementos operativos; trimestral para elementos estructurales o de instalación</v>
      </c>
      <c r="N120" s="8" t="inlineStr">
        <is>
          <t>Anual</t>
        </is>
      </c>
      <c r="O120" s="8" t="inlineStr">
        <is>
          <t>ISO 22301 / planeación estratégica</t>
        </is>
      </c>
      <c r="P120" s="8" t="inlineStr">
        <is>
          <t>Gerencia</t>
        </is>
      </c>
      <c r="Q120" s="19" t="n"/>
      <c r="R120" s="16" t="n"/>
      <c r="S120" s="16" t="n"/>
      <c r="T120" s="20" t="n"/>
    </row>
    <row r="121" ht="42" customHeight="1">
      <c r="A121" s="17" t="inlineStr">
        <is>
          <t>O-06</t>
        </is>
      </c>
      <c r="B121" s="33" t="inlineStr">
        <is>
          <t>O. Legal, financiero y continuidad</t>
        </is>
      </c>
      <c r="C121" s="8" t="inlineStr">
        <is>
          <t>Bloqueos, paros y conflictividad social</t>
        </is>
      </c>
      <c r="D121" s="8" t="inlineStr">
        <is>
          <t>Interrupción del acceso por bloqueos viales, paros o protestas</t>
        </is>
      </c>
      <c r="E121" s="8" t="inlineStr">
        <is>
          <t>Conflictividad social en la zona; paro de transportadores; huelga interna</t>
        </is>
      </c>
      <c r="F121" s="8" t="inlineStr">
        <is>
          <t>Imposibilidad de recibir y despachar; deterioro de producto perecedero</t>
        </is>
      </c>
      <c r="G121" s="8" t="inlineStr">
        <is>
          <t>Verificar monitoreo del entorno, rutas alternas, inventario de seguridad y protocolo de comunicación</t>
        </is>
      </c>
      <c r="H121" s="8" t="inlineStr">
        <is>
          <t>Protocolo de contingencia por bloqueo; análisis del entorno</t>
        </is>
      </c>
      <c r="I121" s="19" t="n">
        <v>3</v>
      </c>
      <c r="J121" s="19" t="n">
        <v>4</v>
      </c>
      <c r="K121" s="17">
        <f>IF(OR($I121="",$J121=""),"",$I121*$J121)</f>
        <v>12</v>
      </c>
      <c r="L121" s="17" t="str">
        <f>IF($K121="","",IF($K121&gt;=20,"Extremo",IF($K121&gt;=12,"Alto",IF($K121&gt;=6,"Medio",IF($K121&gt;=3,"Bajo","Muy bajo")))))</f>
        <v>Alto</v>
      </c>
      <c r="M121" s="8" t="str">
        <f>IFERROR(VLOOKUP($L121,'3. Escalas y Criterios'!$A$30:$C$34,3,FALSE),"")</f>
        <v>Semanal (verificación) + inspección formal mensual documentada</v>
      </c>
      <c r="N121" s="8" t="inlineStr">
        <is>
          <t>Semestral</t>
        </is>
      </c>
      <c r="O121" s="8" t="inlineStr">
        <is>
          <t>ISO 22301</t>
        </is>
      </c>
      <c r="P121" s="8" t="inlineStr">
        <is>
          <t>Gerencia / Logística</t>
        </is>
      </c>
      <c r="Q121" s="19" t="n"/>
      <c r="R121" s="16" t="n"/>
      <c r="S121" s="16" t="n"/>
      <c r="T121" s="20" t="n"/>
    </row>
    <row r="122" ht="42" customHeight="1">
      <c r="A122" s="17" t="inlineStr">
        <is>
          <t>O-07</t>
        </is>
      </c>
      <c r="B122" s="33" t="inlineStr">
        <is>
          <t>O. Legal, financiero y continuidad</t>
        </is>
      </c>
      <c r="C122" s="8" t="inlineStr">
        <is>
          <t>Historial de siniestros y lecciones aprendidas</t>
        </is>
      </c>
      <c r="D122" s="8" t="inlineStr">
        <is>
          <t>Repetición de eventos por falta de análisis de causa raíz</t>
        </is>
      </c>
      <c r="E122" s="8" t="inlineStr">
        <is>
          <t>Investigaciones superficiales; acciones sin cierre ni verificación de eficacia; ausencia de tendencia de casi-accidentes</t>
        </is>
      </c>
      <c r="F122" s="8" t="inlineStr">
        <is>
          <t>Recurrencia de accidentes y pérdidas evitables</t>
        </is>
      </c>
      <c r="G122" s="8" t="inlineStr">
        <is>
          <t>Verificar investigación de todos los eventos (incluidos casi-accidentes), análisis de causa raíz, cierre y verificación de eficacia</t>
        </is>
      </c>
      <c r="H122" s="8" t="inlineStr">
        <is>
          <t>Registro de investigaciones; matriz de acciones con verificación de eficacia</t>
        </is>
      </c>
      <c r="I122" s="19" t="n">
        <v>3</v>
      </c>
      <c r="J122" s="19" t="n">
        <v>4</v>
      </c>
      <c r="K122" s="17">
        <f>IF(OR($I122="",$J122=""),"",$I122*$J122)</f>
        <v>12</v>
      </c>
      <c r="L122" s="17" t="str">
        <f>IF($K122="","",IF($K122&gt;=20,"Extremo",IF($K122&gt;=12,"Alto",IF($K122&gt;=6,"Medio",IF($K122&gt;=3,"Bajo","Muy bajo")))))</f>
        <v>Alto</v>
      </c>
      <c r="M122" s="8" t="str">
        <f>IFERROR(VLOOKUP($L122,'3. Escalas y Criterios'!$A$30:$C$34,3,FALSE),"")</f>
        <v>Semanal (verificación) + inspección formal mensual documentada</v>
      </c>
      <c r="N122" s="8" t="inlineStr">
        <is>
          <t>Mensual (revisión de eventos) + análisis de tendencia trimestral</t>
        </is>
      </c>
      <c r="O122" s="8" t="inlineStr">
        <is>
          <t>ISO 45001 / ISO 31000</t>
        </is>
      </c>
      <c r="P122" s="8" t="inlineStr">
        <is>
          <t>HSE / Jefe de CEDI</t>
        </is>
      </c>
      <c r="Q122" s="19" t="n"/>
      <c r="R122" s="16" t="n"/>
      <c r="S122" s="16" t="n"/>
      <c r="T122" s="20" t="n"/>
    </row>
  </sheetData>
  <autoFilter ref="A4:T122"/>
  <mergeCells count="2">
    <mergeCell ref="A2:N2"/>
    <mergeCell ref="A1:L1"/>
  </mergeCells>
  <conditionalFormatting sqref="L5:L122">
    <cfRule type="cellIs" priority="1" operator="equal" dxfId="0">
      <formula>"Extremo"</formula>
    </cfRule>
    <cfRule type="cellIs" priority="2" operator="equal" dxfId="1">
      <formula>"Alto"</formula>
    </cfRule>
    <cfRule type="cellIs" priority="3" operator="equal" dxfId="2">
      <formula>"Medio"</formula>
    </cfRule>
    <cfRule type="cellIs" priority="4" operator="equal" dxfId="3">
      <formula>"Bajo"</formula>
    </cfRule>
    <cfRule type="cellIs" priority="5" operator="equal" dxfId="4">
      <formula>"Muy bajo"</formula>
    </cfRule>
  </conditionalFormatting>
  <conditionalFormatting sqref="K5:K122">
    <cfRule type="cellIs" priority="6" operator="greaterThanOrEqual" dxfId="5">
      <formula>20</formula>
    </cfRule>
    <cfRule type="cellIs" priority="7" operator="between" dxfId="6">
      <formula>12</formula>
      <formula>16</formula>
    </cfRule>
    <cfRule type="cellIs" priority="8" operator="between" dxfId="7">
      <formula>6</formula>
      <formula>10</formula>
    </cfRule>
    <cfRule type="cellIs" priority="9" operator="between" dxfId="8">
      <formula>1</formula>
      <formula>5</formula>
    </cfRule>
  </conditionalFormatting>
  <conditionalFormatting sqref="Q5:Q122">
    <cfRule type="cellIs" priority="10" operator="equal" dxfId="0">
      <formula>"No"</formula>
    </cfRule>
    <cfRule type="cellIs" priority="11" operator="equal" dxfId="2">
      <formula>"Parcial"</formula>
    </cfRule>
    <cfRule type="cellIs" priority="12" operator="equal" dxfId="3">
      <formula>"Sí"</formula>
    </cfRule>
  </conditionalFormatting>
  <dataValidations count="2">
    <dataValidation sqref="I5:J122" showDropDown="0" showInputMessage="0" showErrorMessage="0" allowBlank="1" promptTitle="Escala 1 a 5" prompt="Ver la hoja '3. Escalas y Criterios'" type="list">
      <formula1>"1,2,3,4,5"</formula1>
    </dataValidation>
    <dataValidation sqref="Q5:Q122" showDropDown="0" showInputMessage="0" showErrorMessage="0" allowBlank="1" type="list">
      <formula1>"Sí,Parcial,No,N.A.,Sin evaluar"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34" customWidth="1" min="4" max="4"/>
    <col width="30" customWidth="1" min="5" max="5"/>
    <col width="30" customWidth="1" min="6" max="6"/>
  </cols>
  <sheetData>
    <row r="1">
      <c r="A1" s="1" t="inlineStr">
        <is>
          <t>ESCALAS DE VALORACIÓN, MATRIZ DE RIESGO Y CRITERIOS DE FRECUENCIA</t>
        </is>
      </c>
    </row>
    <row r="2">
      <c r="A2" s="3" t="inlineStr">
        <is>
          <t>Metodología ISO 31000 · Riesgo = Probabilidad × Impacto</t>
        </is>
      </c>
    </row>
    <row r="3" ht="22" customHeight="1">
      <c r="A3" s="4" t="inlineStr">
        <is>
          <t xml:space="preserve">  ESCALA DE PROBABILIDAD (qué tan factible es que ocurra)</t>
        </is>
      </c>
    </row>
    <row r="4" ht="30" customHeight="1">
      <c r="A4" s="6" t="inlineStr">
        <is>
          <t>Valor</t>
        </is>
      </c>
      <c r="B4" s="6" t="inlineStr">
        <is>
          <t>Descriptor</t>
        </is>
      </c>
      <c r="C4" s="6" t="inlineStr">
        <is>
          <t>Criterio de frecuencia esperada</t>
        </is>
      </c>
      <c r="D4" s="6" t="inlineStr">
        <is>
          <t>Criterio histórico en la instalación</t>
        </is>
      </c>
      <c r="E4" s="6" t="inlineStr">
        <is>
          <t>Criterio de control</t>
        </is>
      </c>
      <c r="F4" s="6" t="inlineStr"/>
    </row>
    <row r="5" ht="39" customHeight="1">
      <c r="A5" s="17" t="n">
        <v>1</v>
      </c>
      <c r="B5" s="8" t="inlineStr">
        <is>
          <t>Raro</t>
        </is>
      </c>
      <c r="C5" s="8" t="inlineStr">
        <is>
          <t>Podría ocurrir solo en circunstancias excepcionales (menos de 1 vez cada 10 años)</t>
        </is>
      </c>
      <c r="D5" s="8" t="inlineStr">
        <is>
          <t>Nunca ha ocurrido en el CEDI ni en instalaciones similares del sector</t>
        </is>
      </c>
      <c r="E5" s="8" t="inlineStr">
        <is>
          <t>Controles robustos, verificados y con evidencia</t>
        </is>
      </c>
      <c r="F5" s="8" t="n"/>
    </row>
    <row r="6" ht="30" customHeight="1">
      <c r="A6" s="17" t="n">
        <v>2</v>
      </c>
      <c r="B6" s="8" t="inlineStr">
        <is>
          <t>Improbable</t>
        </is>
      </c>
      <c r="C6" s="8" t="inlineStr">
        <is>
          <t>Podría ocurrir alguna vez (1 vez cada 5 a 10 años)</t>
        </is>
      </c>
      <c r="D6" s="8" t="inlineStr">
        <is>
          <t>Ha ocurrido en el sector, no en esta instalación</t>
        </is>
      </c>
      <c r="E6" s="8" t="inlineStr">
        <is>
          <t>Controles existen y funcionan, con desviaciones menores</t>
        </is>
      </c>
      <c r="F6" s="8" t="n"/>
    </row>
    <row r="7" ht="30" customHeight="1">
      <c r="A7" s="17" t="n">
        <v>3</v>
      </c>
      <c r="B7" s="8" t="inlineStr">
        <is>
          <t>Posible</t>
        </is>
      </c>
      <c r="C7" s="8" t="inlineStr">
        <is>
          <t>Podría ocurrir en algún momento (1 vez cada 1 a 5 años)</t>
        </is>
      </c>
      <c r="D7" s="8" t="inlineStr">
        <is>
          <t>Ha ocurrido al menos una vez en esta instalación o en la red</t>
        </is>
      </c>
      <c r="E7" s="8" t="inlineStr">
        <is>
          <t>Controles existen pero su cumplimiento es irregular</t>
        </is>
      </c>
      <c r="F7" s="8" t="n"/>
    </row>
    <row r="8" ht="39" customHeight="1">
      <c r="A8" s="17" t="n">
        <v>4</v>
      </c>
      <c r="B8" s="8" t="inlineStr">
        <is>
          <t>Probable</t>
        </is>
      </c>
      <c r="C8" s="8" t="inlineStr">
        <is>
          <t>Ocurrirá probablemente en la mayoría de las circunstancias (varias veces al año)</t>
        </is>
      </c>
      <c r="D8" s="8" t="inlineStr">
        <is>
          <t>Ocurre de forma recurrente; hay reportes o casi-accidentes frecuentes</t>
        </is>
      </c>
      <c r="E8" s="8" t="inlineStr">
        <is>
          <t>Controles débiles, informales o sin seguimiento</t>
        </is>
      </c>
      <c r="F8" s="8" t="n"/>
    </row>
    <row r="9" ht="39" customHeight="1">
      <c r="A9" s="17" t="n">
        <v>5</v>
      </c>
      <c r="B9" s="8" t="inlineStr">
        <is>
          <t>Casi seguro</t>
        </is>
      </c>
      <c r="C9" s="8" t="inlineStr">
        <is>
          <t>Se espera que ocurra en la mayoría de las circunstancias (mensual o más frecuente)</t>
        </is>
      </c>
      <c r="D9" s="8" t="inlineStr">
        <is>
          <t>Ocurre habitualmente; es parte del día a día de la operación</t>
        </is>
      </c>
      <c r="E9" s="8" t="inlineStr">
        <is>
          <t>No hay control o el control está fuera de servicio</t>
        </is>
      </c>
      <c r="F9" s="8" t="n"/>
    </row>
    <row r="11" ht="22" customHeight="1">
      <c r="A11" s="4" t="inlineStr">
        <is>
          <t xml:space="preserve">  ESCALA DE IMPACTO / CONSECUENCIA (se toma el peor de los criterios)</t>
        </is>
      </c>
    </row>
    <row r="12" ht="30" customHeight="1">
      <c r="A12" s="6" t="inlineStr">
        <is>
          <t>Valor</t>
        </is>
      </c>
      <c r="B12" s="6" t="inlineStr">
        <is>
          <t>Descriptor</t>
        </is>
      </c>
      <c r="C12" s="6" t="inlineStr">
        <is>
          <t>Personas (SST)</t>
        </is>
      </c>
      <c r="D12" s="6" t="inlineStr">
        <is>
          <t>Operación y continuidad</t>
        </is>
      </c>
      <c r="E12" s="6" t="inlineStr">
        <is>
          <t>Económico y patrimonial</t>
        </is>
      </c>
      <c r="F12" s="6" t="inlineStr">
        <is>
          <t>Legal, sanitario y reputacional</t>
        </is>
      </c>
    </row>
    <row r="13" ht="30" customHeight="1">
      <c r="A13" s="17" t="n">
        <v>1</v>
      </c>
      <c r="B13" s="8" t="inlineStr">
        <is>
          <t>Insignificante</t>
        </is>
      </c>
      <c r="C13" s="8" t="inlineStr">
        <is>
          <t>Sin lesión o atención de primeros auxilios</t>
        </is>
      </c>
      <c r="D13" s="8" t="inlineStr">
        <is>
          <t>Sin afectación del servicio</t>
        </is>
      </c>
      <c r="E13" s="8" t="inlineStr">
        <is>
          <t>Pérdida marginal, absorbida por la operación</t>
        </is>
      </c>
      <c r="F13" s="8" t="inlineStr">
        <is>
          <t>Sin consecuencia legal ni externa</t>
        </is>
      </c>
    </row>
    <row r="14" ht="39" customHeight="1">
      <c r="A14" s="17" t="n">
        <v>2</v>
      </c>
      <c r="B14" s="8" t="inlineStr">
        <is>
          <t>Menor</t>
        </is>
      </c>
      <c r="C14" s="8" t="inlineStr">
        <is>
          <t>Lesión leve sin incapacidad</t>
        </is>
      </c>
      <c r="D14" s="8" t="inlineStr">
        <is>
          <t>Retraso puntual de horas en un proceso</t>
        </is>
      </c>
      <c r="E14" s="8" t="inlineStr">
        <is>
          <t>Pérdida menor, cubierta por el presupuesto de mantenimiento</t>
        </is>
      </c>
      <c r="F14" s="8" t="inlineStr">
        <is>
          <t>Observación interna o de auditoría</t>
        </is>
      </c>
    </row>
    <row r="15" ht="39" customHeight="1">
      <c r="A15" s="17" t="n">
        <v>3</v>
      </c>
      <c r="B15" s="8" t="inlineStr">
        <is>
          <t>Moderado</t>
        </is>
      </c>
      <c r="C15" s="8" t="inlineStr">
        <is>
          <t>Lesión con incapacidad temporal</t>
        </is>
      </c>
      <c r="D15" s="8" t="inlineStr">
        <is>
          <t>Paro de un turno o de un proceso completo; incumplimiento de despachos del día</t>
        </is>
      </c>
      <c r="E15" s="8" t="inlineStr">
        <is>
          <t>Pérdida significativa; se afecta el resultado del mes</t>
        </is>
      </c>
      <c r="F15" s="8" t="inlineStr">
        <is>
          <t>Requerimiento de la autoridad, reclamo formal de cliente</t>
        </is>
      </c>
    </row>
    <row r="16" ht="39" customHeight="1">
      <c r="A16" s="17" t="n">
        <v>4</v>
      </c>
      <c r="B16" s="8" t="inlineStr">
        <is>
          <t>Mayor</t>
        </is>
      </c>
      <c r="C16" s="8" t="inlineStr">
        <is>
          <t>Lesión grave, incapacidad permanente parcial o varios lesionados</t>
        </is>
      </c>
      <c r="D16" s="8" t="inlineStr">
        <is>
          <t>Paro de varios días o pérdida parcial de la capacidad de almacenamiento</t>
        </is>
      </c>
      <c r="E16" s="8" t="inlineStr">
        <is>
          <t>Pérdida patrimonial importante; supera el deducible y afecta el resultado del año</t>
        </is>
      </c>
      <c r="F16" s="8" t="inlineStr">
        <is>
          <t>Sanción económica, suspensión parcial, daño reputacional en medios</t>
        </is>
      </c>
    </row>
    <row r="17" ht="39" customHeight="1">
      <c r="A17" s="17" t="n">
        <v>5</v>
      </c>
      <c r="B17" s="8" t="inlineStr">
        <is>
          <t>Catastrófico</t>
        </is>
      </c>
      <c r="C17" s="8" t="inlineStr">
        <is>
          <t>Una o varias fatalidades o incapacidad permanente total</t>
        </is>
      </c>
      <c r="D17" s="8" t="inlineStr">
        <is>
          <t>Pérdida del CEDI o interrupción prolongada del abastecimiento a la red</t>
        </is>
      </c>
      <c r="E17" s="8" t="inlineStr">
        <is>
          <t>Pérdida total o no asegurada; compromete la viabilidad del negocio</t>
        </is>
      </c>
      <c r="F17" s="8" t="inlineStr">
        <is>
          <t>Cierre del establecimiento, responsabilidad penal, recall masivo</t>
        </is>
      </c>
    </row>
    <row r="19" ht="22" customHeight="1">
      <c r="A19" s="4" t="inlineStr">
        <is>
          <t xml:space="preserve">  MATRIZ DE CALIFICACIÓN 5 × 5  (filas = Probabilidad · columnas = Impacto)</t>
        </is>
      </c>
    </row>
    <row r="20" ht="20" customHeight="1">
      <c r="A20" s="6" t="inlineStr">
        <is>
          <t>P \ I</t>
        </is>
      </c>
      <c r="B20" s="6" t="n">
        <v>1</v>
      </c>
      <c r="C20" s="6" t="n">
        <v>2</v>
      </c>
      <c r="D20" s="6" t="n">
        <v>3</v>
      </c>
      <c r="E20" s="6" t="n">
        <v>4</v>
      </c>
      <c r="F20" s="6" t="n">
        <v>5</v>
      </c>
    </row>
    <row r="21" ht="20" customHeight="1">
      <c r="A21" s="6" t="n">
        <v>5</v>
      </c>
      <c r="B21" s="34" t="n">
        <v>5</v>
      </c>
      <c r="C21" s="35" t="n">
        <v>10</v>
      </c>
      <c r="D21" s="36" t="n">
        <v>15</v>
      </c>
      <c r="E21" s="37" t="n">
        <v>20</v>
      </c>
      <c r="F21" s="37" t="n">
        <v>25</v>
      </c>
    </row>
    <row r="22" ht="20" customHeight="1">
      <c r="A22" s="6" t="n">
        <v>4</v>
      </c>
      <c r="B22" s="34" t="n">
        <v>4</v>
      </c>
      <c r="C22" s="35" t="n">
        <v>8</v>
      </c>
      <c r="D22" s="36" t="n">
        <v>12</v>
      </c>
      <c r="E22" s="36" t="n">
        <v>16</v>
      </c>
      <c r="F22" s="37" t="n">
        <v>20</v>
      </c>
    </row>
    <row r="23" ht="20" customHeight="1">
      <c r="A23" s="6" t="n">
        <v>3</v>
      </c>
      <c r="B23" s="34" t="n">
        <v>3</v>
      </c>
      <c r="C23" s="35" t="n">
        <v>6</v>
      </c>
      <c r="D23" s="35" t="n">
        <v>9</v>
      </c>
      <c r="E23" s="36" t="n">
        <v>12</v>
      </c>
      <c r="F23" s="36" t="n">
        <v>15</v>
      </c>
    </row>
    <row r="24" ht="20" customHeight="1">
      <c r="A24" s="6" t="n">
        <v>2</v>
      </c>
      <c r="B24" s="38" t="n">
        <v>2</v>
      </c>
      <c r="C24" s="34" t="n">
        <v>4</v>
      </c>
      <c r="D24" s="35" t="n">
        <v>6</v>
      </c>
      <c r="E24" s="35" t="n">
        <v>8</v>
      </c>
      <c r="F24" s="35" t="n">
        <v>10</v>
      </c>
    </row>
    <row r="25" ht="20" customHeight="1">
      <c r="A25" s="6" t="n">
        <v>1</v>
      </c>
      <c r="B25" s="38" t="n">
        <v>1</v>
      </c>
      <c r="C25" s="38" t="n">
        <v>2</v>
      </c>
      <c r="D25" s="34" t="n">
        <v>3</v>
      </c>
      <c r="E25" s="34" t="n">
        <v>4</v>
      </c>
      <c r="F25" s="34" t="n">
        <v>5</v>
      </c>
    </row>
    <row r="27">
      <c r="A27" s="39" t="inlineStr">
        <is>
          <t>Nota: si el escenario puede causar una fatalidad, califique el impacto en 5 aunque la probabilidad sea baja; ese riesgo se gestiona por severidad, no por frecuencia.</t>
        </is>
      </c>
    </row>
    <row r="28" ht="22" customHeight="1">
      <c r="A28" s="4" t="inlineStr">
        <is>
          <t xml:space="preserve">  NIVELES DE RIESGO: FRECUENCIA DE REVISIÓN Y RESPUESTA EXIGIDA</t>
        </is>
      </c>
    </row>
    <row r="29" ht="34" customHeight="1">
      <c r="A29" s="6" t="inlineStr">
        <is>
          <t>Nivel de riesgo</t>
        </is>
      </c>
      <c r="B29" s="6" t="inlineStr">
        <is>
          <t>Rango (P × I)</t>
        </is>
      </c>
      <c r="C29" s="6" t="inlineStr">
        <is>
          <t>Frecuencia mínima de verificación en campo</t>
        </is>
      </c>
      <c r="D29" s="6" t="inlineStr">
        <is>
          <t>Reevaluación formal del riesgo</t>
        </is>
      </c>
      <c r="E29" s="6" t="inlineStr">
        <is>
          <t>Plazo máximo del plan de acción</t>
        </is>
      </c>
      <c r="F29" s="6" t="inlineStr">
        <is>
          <t>Quién acepta / aprueba</t>
        </is>
      </c>
    </row>
    <row r="30" ht="39" customHeight="1">
      <c r="A30" s="9" t="inlineStr">
        <is>
          <t>Extremo</t>
        </is>
      </c>
      <c r="B30" s="15" t="inlineStr">
        <is>
          <t>20 - 25</t>
        </is>
      </c>
      <c r="C30" s="8" t="inlineStr">
        <is>
          <t>Diaria o por turno (verificación operativa) + inspección formal semanal documentada</t>
        </is>
      </c>
      <c r="D30" s="8" t="inlineStr">
        <is>
          <t>Mensual</t>
        </is>
      </c>
      <c r="E30" s="8" t="inlineStr">
        <is>
          <t>≤ 15 días · Se exige control inmediato o suspensión de la actividad</t>
        </is>
      </c>
      <c r="F30" s="8" t="inlineStr">
        <is>
          <t>Gerencia / Dirección</t>
        </is>
      </c>
    </row>
    <row r="31" ht="32" customHeight="1">
      <c r="A31" s="10" t="inlineStr">
        <is>
          <t>Alto</t>
        </is>
      </c>
      <c r="B31" s="15" t="inlineStr">
        <is>
          <t>12 - 16</t>
        </is>
      </c>
      <c r="C31" s="8" t="inlineStr">
        <is>
          <t>Semanal (verificación) + inspección formal mensual documentada</t>
        </is>
      </c>
      <c r="D31" s="8" t="inlineStr">
        <is>
          <t>Trimestral</t>
        </is>
      </c>
      <c r="E31" s="8" t="inlineStr">
        <is>
          <t>≤ 30 días</t>
        </is>
      </c>
      <c r="F31" s="8" t="inlineStr">
        <is>
          <t>Jefe de CEDI con visto bueno de HSE</t>
        </is>
      </c>
    </row>
    <row r="32" ht="39" customHeight="1">
      <c r="A32" s="40" t="inlineStr">
        <is>
          <t>Medio</t>
        </is>
      </c>
      <c r="B32" s="15" t="inlineStr">
        <is>
          <t>6 - 10</t>
        </is>
      </c>
      <c r="C32" s="8" t="inlineStr">
        <is>
          <t>Mensual para elementos operativos; trimestral para elementos estructurales o de instalación</t>
        </is>
      </c>
      <c r="D32" s="8" t="inlineStr">
        <is>
          <t>Semestral</t>
        </is>
      </c>
      <c r="E32" s="8" t="inlineStr">
        <is>
          <t>≤ 90 días</t>
        </is>
      </c>
      <c r="F32" s="8" t="inlineStr">
        <is>
          <t>Jefe de CEDI</t>
        </is>
      </c>
    </row>
    <row r="33" ht="32" customHeight="1">
      <c r="A33" s="12" t="inlineStr">
        <is>
          <t>Bajo</t>
        </is>
      </c>
      <c r="B33" s="15" t="inlineStr">
        <is>
          <t>3 - 5</t>
        </is>
      </c>
      <c r="C33" s="8" t="inlineStr">
        <is>
          <t>Semestral</t>
        </is>
      </c>
      <c r="D33" s="8" t="inlineStr">
        <is>
          <t>Anual</t>
        </is>
      </c>
      <c r="E33" s="8" t="inlineStr">
        <is>
          <t>Siguiente ciclo presupuestal</t>
        </is>
      </c>
      <c r="F33" s="8" t="inlineStr">
        <is>
          <t>Coordinador del proceso</t>
        </is>
      </c>
    </row>
    <row r="34" ht="32" customHeight="1">
      <c r="A34" s="41" t="inlineStr">
        <is>
          <t>Muy bajo</t>
        </is>
      </c>
      <c r="B34" s="15" t="inlineStr">
        <is>
          <t>1 - 2</t>
        </is>
      </c>
      <c r="C34" s="8" t="inlineStr">
        <is>
          <t>Anual</t>
        </is>
      </c>
      <c r="D34" s="8" t="inlineStr">
        <is>
          <t>Anual</t>
        </is>
      </c>
      <c r="E34" s="8" t="inlineStr">
        <is>
          <t>Se monitorea, no requiere acción</t>
        </is>
      </c>
      <c r="F34" s="8" t="inlineStr">
        <is>
          <t>Coordinador del proceso</t>
        </is>
      </c>
    </row>
    <row r="36" ht="22" customHeight="1">
      <c r="A36" s="4" t="inlineStr">
        <is>
          <t xml:space="preserve">  DISPARADORES DE REVISIÓN EXTRAORDINARIA (obligan a revisar de inmediato, sin esperar la frecuencia programada)</t>
        </is>
      </c>
    </row>
    <row r="37" ht="20" customHeight="1">
      <c r="A37" s="6" t="inlineStr">
        <is>
          <t>Disparador</t>
        </is>
      </c>
      <c r="B37" s="6" t="inlineStr">
        <is>
          <t>Acción inmediata exigida</t>
        </is>
      </c>
      <c r="C37" s="42" t="n"/>
      <c r="D37" s="42" t="n"/>
      <c r="E37" s="42" t="n"/>
      <c r="F37" s="43" t="n"/>
    </row>
    <row r="38" ht="39" customHeight="1">
      <c r="A38" s="7" t="inlineStr">
        <is>
          <t>Sismo sentido en la instalación</t>
        </is>
      </c>
      <c r="B38" s="8" t="inlineStr">
        <is>
          <t>Inspección estructural y de estantería antes de reanudar la operación; no se reingresa personal sin concepto.</t>
        </is>
      </c>
      <c r="C38" s="44" t="n"/>
      <c r="D38" s="44" t="n"/>
      <c r="E38" s="44" t="n"/>
      <c r="F38" s="44" t="n"/>
    </row>
    <row r="39" ht="39" customHeight="1">
      <c r="A39" s="7" t="inlineStr">
        <is>
          <t>Incendio o conato, por pequeño que sea</t>
        </is>
      </c>
      <c r="B39" s="8" t="inlineStr">
        <is>
          <t>Investigación de causa, revisión de la carga de fuego y verificación integral del sistema de protección.</t>
        </is>
      </c>
      <c r="C39" s="44" t="n"/>
      <c r="D39" s="44" t="n"/>
      <c r="E39" s="44" t="n"/>
      <c r="F39" s="44" t="n"/>
    </row>
    <row r="40" ht="52" customHeight="1">
      <c r="A40" s="7" t="inlineStr">
        <is>
          <t>Impacto significativo contra una estantería</t>
        </is>
      </c>
      <c r="B40" s="8" t="inlineStr">
        <is>
          <t>Descarga inmediata del módulo afectado, evaluación del daño (verde / ámbar / rojo) y reparación con repuesto original.</t>
        </is>
      </c>
      <c r="C40" s="44" t="n"/>
      <c r="D40" s="44" t="n"/>
      <c r="E40" s="44" t="n"/>
      <c r="F40" s="44" t="n"/>
    </row>
    <row r="41" ht="65" customHeight="1">
      <c r="A41" s="7" t="inlineStr">
        <is>
          <t>Accidente grave, fatalidad o casi-accidente de alto potencial</t>
        </is>
      </c>
      <c r="B41" s="8" t="inlineStr">
        <is>
          <t>Investigación de causa raíz y recalificación de todos los riesgos de la misma familia.</t>
        </is>
      </c>
      <c r="C41" s="44" t="n"/>
      <c r="D41" s="44" t="n"/>
      <c r="E41" s="44" t="n"/>
      <c r="F41" s="44" t="n"/>
    </row>
    <row r="42" ht="39" customHeight="1">
      <c r="A42" s="7" t="inlineStr">
        <is>
          <t>Inundación o vendaval en la zona</t>
        </is>
      </c>
      <c r="B42" s="8" t="inlineStr">
        <is>
          <t>Revisión de cubierta, drenajes, instalaciones eléctricas y producto almacenado en piso.</t>
        </is>
      </c>
      <c r="C42" s="44" t="n"/>
      <c r="D42" s="44" t="n"/>
      <c r="E42" s="44" t="n"/>
      <c r="F42" s="44" t="n"/>
    </row>
    <row r="43" ht="78" customHeight="1">
      <c r="A43" s="7" t="inlineStr">
        <is>
          <t>Cambio de layout, de sistema de almacenamiento o de altura de almacenamiento</t>
        </is>
      </c>
      <c r="B43" s="8" t="inlineStr">
        <is>
          <t>Recálculo estructural, revisión del diseño de protección contra incendio y actualización de planos y placas de carga.</t>
        </is>
      </c>
      <c r="C43" s="44" t="n"/>
      <c r="D43" s="44" t="n"/>
      <c r="E43" s="44" t="n"/>
      <c r="F43" s="44" t="n"/>
    </row>
    <row r="44" ht="78" customHeight="1">
      <c r="A44" s="7" t="inlineStr">
        <is>
          <t>Cambio del portafolio de producto (nuevos plásticos, aerosoles, litio, químicos)</t>
        </is>
      </c>
      <c r="B44" s="8" t="inlineStr">
        <is>
          <t>Reclasificación de la mercancía y validación del sistema de rociadores y de la segregación.</t>
        </is>
      </c>
      <c r="C44" s="44" t="n"/>
      <c r="D44" s="44" t="n"/>
      <c r="E44" s="44" t="n"/>
      <c r="F44" s="44" t="n"/>
    </row>
    <row r="45" ht="52" customHeight="1">
      <c r="A45" s="7" t="inlineStr">
        <is>
          <t>Ingreso de un nuevo tipo de equipo de manipulación</t>
        </is>
      </c>
      <c r="B45" s="8" t="inlineStr">
        <is>
          <t>Actualización de flujos, ancho de pasillo, certificación de operadores y estudio de compatibilidad con el piso.</t>
        </is>
      </c>
      <c r="C45" s="44" t="n"/>
      <c r="D45" s="44" t="n"/>
      <c r="E45" s="44" t="n"/>
      <c r="F45" s="44" t="n"/>
    </row>
    <row r="46" ht="52" customHeight="1">
      <c r="A46" s="7" t="inlineStr">
        <is>
          <t>Pico estacional o incremento sostenido del volumen</t>
        </is>
      </c>
      <c r="B46" s="8" t="inlineStr">
        <is>
          <t>Revisión de ocupación, capacidad, personal temporal, inducción y bloqueo de pasillos.</t>
        </is>
      </c>
      <c r="C46" s="44" t="n"/>
      <c r="D46" s="44" t="n"/>
      <c r="E46" s="44" t="n"/>
      <c r="F46" s="44" t="n"/>
    </row>
    <row r="47" ht="78" customHeight="1">
      <c r="A47" s="7" t="inlineStr">
        <is>
          <t>Cambio de operador logístico, de contratista crítico o de transportista</t>
        </is>
      </c>
      <c r="B47" s="8" t="inlineStr">
        <is>
          <t>Homologación, auditoría inicial y revisión de responsabilidades.</t>
        </is>
      </c>
      <c r="C47" s="44" t="n"/>
      <c r="D47" s="44" t="n"/>
      <c r="E47" s="44" t="n"/>
      <c r="F47" s="44" t="n"/>
    </row>
    <row r="48" ht="65" customHeight="1">
      <c r="A48" s="7" t="inlineStr">
        <is>
          <t>Cambio normativo o nueva exigencia de la aseguradora o del cliente</t>
        </is>
      </c>
      <c r="B48" s="8" t="inlineStr">
        <is>
          <t>Actualización de la matriz legal y cierre de las nuevas recomendaciones.</t>
        </is>
      </c>
      <c r="C48" s="44" t="n"/>
      <c r="D48" s="44" t="n"/>
      <c r="E48" s="44" t="n"/>
      <c r="F48" s="44" t="n"/>
    </row>
    <row r="49" ht="65" customHeight="1">
      <c r="A49" s="7" t="inlineStr">
        <is>
          <t>Siniestro relevante en otra instalación de la compañía o del sector</t>
        </is>
      </c>
      <c r="B49" s="8" t="inlineStr">
        <is>
          <t>Autoevaluación del mismo escenario y verificación de los controles equivalentes.</t>
        </is>
      </c>
      <c r="C49" s="44" t="n"/>
      <c r="D49" s="44" t="n"/>
      <c r="E49" s="44" t="n"/>
      <c r="F49" s="44" t="n"/>
    </row>
  </sheetData>
  <mergeCells count="19">
    <mergeCell ref="B47:F47"/>
    <mergeCell ref="A27:F27"/>
    <mergeCell ref="B46:F46"/>
    <mergeCell ref="A3:F3"/>
    <mergeCell ref="B43:F43"/>
    <mergeCell ref="B39:F39"/>
    <mergeCell ref="B48:F48"/>
    <mergeCell ref="B42:F42"/>
    <mergeCell ref="B44:F44"/>
    <mergeCell ref="A28:F28"/>
    <mergeCell ref="B38:F38"/>
    <mergeCell ref="A19:F19"/>
    <mergeCell ref="B37:F37"/>
    <mergeCell ref="B40:F40"/>
    <mergeCell ref="B49:F49"/>
    <mergeCell ref="A11:F11"/>
    <mergeCell ref="A36:F36"/>
    <mergeCell ref="B45:F45"/>
    <mergeCell ref="B41:F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J1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24" customWidth="1" min="3" max="3"/>
    <col width="22" customWidth="1" min="4" max="4"/>
    <col width="28" customWidth="1" min="5" max="5"/>
    <col width="26" customWidth="1" min="6" max="6"/>
    <col width="16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CALENDARIO DE INSPECCIONES Y VERIFICACIONES DEL CEDI</t>
        </is>
      </c>
    </row>
    <row r="2">
      <c r="A2" s="3" t="inlineStr">
        <is>
          <t>Consolida las frecuencias exigidas por norma y por criticidad. Regla: si la frecuencia calculada por el nivel de riesgo es mayor que la de la norma, prevalece la más exigente.</t>
        </is>
      </c>
    </row>
    <row r="4" ht="22" customHeight="1">
      <c r="A4" s="4" t="inlineStr">
        <is>
          <t xml:space="preserve">  POR TURNO / DIARIA — verificación operativa</t>
        </is>
      </c>
    </row>
    <row r="5" ht="30" customHeight="1">
      <c r="A5" s="6" t="inlineStr">
        <is>
          <t>#</t>
        </is>
      </c>
      <c r="B5" s="6" t="inlineStr">
        <is>
          <t>Actividad de inspección o verificación</t>
        </is>
      </c>
      <c r="C5" s="6" t="inlineStr">
        <is>
          <t>Elemento o sistema</t>
        </is>
      </c>
      <c r="D5" s="6" t="inlineStr">
        <is>
          <t>Responsable</t>
        </is>
      </c>
      <c r="E5" s="6" t="inlineStr">
        <is>
          <t>Norma o referencia</t>
        </is>
      </c>
      <c r="F5" s="6" t="inlineStr">
        <is>
          <t>Registro que se genera</t>
        </is>
      </c>
      <c r="G5" s="6" t="inlineStr">
        <is>
          <t>Riesgos (ID)</t>
        </is>
      </c>
      <c r="H5" s="6" t="inlineStr">
        <is>
          <t>Última ejecución</t>
        </is>
      </c>
      <c r="I5" s="6" t="inlineStr">
        <is>
          <t>Próxima programada</t>
        </is>
      </c>
      <c r="J5" s="6" t="inlineStr">
        <is>
          <t>Estado</t>
        </is>
      </c>
    </row>
    <row r="6" ht="36" customHeight="1">
      <c r="A6" s="15" t="n">
        <v>1</v>
      </c>
      <c r="B6" s="8" t="inlineStr">
        <is>
          <t>Inspección preoperacional de cada equipo de manipulación antes de usarlo, con bloqueo del equipo ante hallazgo crítico</t>
        </is>
      </c>
      <c r="C6" s="8" t="inlineStr">
        <is>
          <t>Montacargas y demás MHE</t>
        </is>
      </c>
      <c r="D6" s="8" t="inlineStr">
        <is>
          <t>Operador / Supervisor</t>
        </is>
      </c>
      <c r="E6" s="8" t="inlineStr">
        <is>
          <t>OSHA 1910.178(q)(7)</t>
        </is>
      </c>
      <c r="F6" s="8" t="inlineStr">
        <is>
          <t>Formato preoperacional firmado</t>
        </is>
      </c>
      <c r="G6" s="15" t="inlineStr">
        <is>
          <t>E-02, E-03, E-09</t>
        </is>
      </c>
      <c r="H6" s="20" t="n"/>
      <c r="I6" s="20" t="n"/>
      <c r="J6" s="19" t="n"/>
    </row>
    <row r="7" ht="28" customHeight="1">
      <c r="A7" s="15" t="n">
        <v>2</v>
      </c>
      <c r="B7" s="8" t="inlineStr">
        <is>
          <t>Ronda de orden y aseo: pasillos, salidas de evacuación, extintores, hidrantes y tableros libres de obstrucción</t>
        </is>
      </c>
      <c r="C7" s="8" t="inlineStr">
        <is>
          <t>Toda la instalación</t>
        </is>
      </c>
      <c r="D7" s="8" t="inlineStr">
        <is>
          <t>Supervisor de turno</t>
        </is>
      </c>
      <c r="E7" s="8" t="inlineStr">
        <is>
          <t>NFPA 101 / NTC 1700</t>
        </is>
      </c>
      <c r="F7" s="8" t="inlineStr">
        <is>
          <t>Ronda 5S con hallazgos</t>
        </is>
      </c>
      <c r="G7" s="15" t="inlineStr">
        <is>
          <t>C-03, F-04, K-02</t>
        </is>
      </c>
      <c r="H7" s="20" t="n"/>
      <c r="I7" s="20" t="n"/>
      <c r="J7" s="19" t="n"/>
    </row>
    <row r="8" ht="28" customHeight="1">
      <c r="A8" s="15" t="n">
        <v>3</v>
      </c>
      <c r="B8" s="8" t="inlineStr">
        <is>
          <t>Aseguramiento del vehículo en muelle: calzo o dock lock, semáforo y control de llaves en cada operación</t>
        </is>
      </c>
      <c r="C8" s="8" t="inlineStr">
        <is>
          <t>Muelles</t>
        </is>
      </c>
      <c r="D8" s="8" t="inlineStr">
        <is>
          <t>Supervisor de muelles</t>
        </is>
      </c>
      <c r="E8" s="8" t="inlineStr">
        <is>
          <t>OSHA 1910.178(k)</t>
        </is>
      </c>
      <c r="F8" s="8" t="inlineStr">
        <is>
          <t>Checklist de muelle</t>
        </is>
      </c>
      <c r="G8" s="15" t="inlineStr">
        <is>
          <t>D-01, D-08</t>
        </is>
      </c>
      <c r="H8" s="20" t="n"/>
      <c r="I8" s="20" t="n"/>
      <c r="J8" s="19" t="n"/>
    </row>
    <row r="9" ht="28" customHeight="1">
      <c r="A9" s="15" t="n">
        <v>4</v>
      </c>
      <c r="B9" s="8" t="inlineStr">
        <is>
          <t>Reporte inmediato de cualquier daño a estantería por parte de cualquier trabajador</t>
        </is>
      </c>
      <c r="C9" s="8" t="inlineStr">
        <is>
          <t>Estantería</t>
        </is>
      </c>
      <c r="D9" s="8" t="inlineStr">
        <is>
          <t>Todo el personal / PRRS</t>
        </is>
      </c>
      <c r="E9" s="8" t="inlineStr">
        <is>
          <t>EN 15635 §9</t>
        </is>
      </c>
      <c r="F9" s="8" t="inlineStr">
        <is>
          <t>Tarjeta o reporte de daño</t>
        </is>
      </c>
      <c r="G9" s="15" t="inlineStr">
        <is>
          <t>B-02</t>
        </is>
      </c>
      <c r="H9" s="20" t="n"/>
      <c r="I9" s="20" t="n"/>
      <c r="J9" s="19" t="n"/>
    </row>
    <row r="10" ht="28" customHeight="1">
      <c r="A10" s="15" t="n">
        <v>5</v>
      </c>
      <c r="B10" s="8" t="inlineStr">
        <is>
          <t>Monitoreo y registro de temperatura de cámaras y muelles refrigerados; atención de alarmas</t>
        </is>
      </c>
      <c r="C10" s="8" t="inlineStr">
        <is>
          <t>Cadena de frío</t>
        </is>
      </c>
      <c r="D10" s="8" t="inlineStr">
        <is>
          <t>Calidad / Mantenimiento</t>
        </is>
      </c>
      <c r="E10" s="8" t="inlineStr">
        <is>
          <t>BPM / HACCP / GDP</t>
        </is>
      </c>
      <c r="F10" s="8" t="inlineStr">
        <is>
          <t>Registro continuo de temperatura</t>
        </is>
      </c>
      <c r="G10" s="15" t="inlineStr">
        <is>
          <t>L-01</t>
        </is>
      </c>
      <c r="H10" s="20" t="n"/>
      <c r="I10" s="20" t="n"/>
      <c r="J10" s="19" t="n"/>
    </row>
    <row r="11" ht="28" customHeight="1">
      <c r="A11" s="15" t="n">
        <v>6</v>
      </c>
      <c r="B11" s="8" t="inlineStr">
        <is>
          <t>Inspección de estibas en recibo y antes de ubicar en rack; retiro de estibas averiadas</t>
        </is>
      </c>
      <c r="C11" s="8" t="inlineStr">
        <is>
          <t>Estibas / unidad de carga</t>
        </is>
      </c>
      <c r="D11" s="8" t="inlineStr">
        <is>
          <t>Coordinador de recibo</t>
        </is>
      </c>
      <c r="E11" s="8" t="inlineStr">
        <is>
          <t>EN 15635 §8</t>
        </is>
      </c>
      <c r="F11" s="8" t="inlineStr">
        <is>
          <t>Registro de rechazo</t>
        </is>
      </c>
      <c r="G11" s="15" t="inlineStr">
        <is>
          <t>B-10</t>
        </is>
      </c>
      <c r="H11" s="20" t="n"/>
      <c r="I11" s="20" t="n"/>
      <c r="J11" s="19" t="n"/>
    </row>
    <row r="12" ht="28" customHeight="1">
      <c r="A12" s="15" t="n">
        <v>7</v>
      </c>
      <c r="B12" s="8" t="inlineStr">
        <is>
          <t>Conteos cíclicos de referencias clase A y análisis de diferencias</t>
        </is>
      </c>
      <c r="C12" s="8" t="inlineStr">
        <is>
          <t>Inventario</t>
        </is>
      </c>
      <c r="D12" s="8" t="inlineStr">
        <is>
          <t>Control de inventarios</t>
        </is>
      </c>
      <c r="E12" s="8" t="inlineStr">
        <is>
          <t>Buena práctica</t>
        </is>
      </c>
      <c r="F12" s="8" t="inlineStr">
        <is>
          <t>Reporte ERI</t>
        </is>
      </c>
      <c r="G12" s="15" t="inlineStr">
        <is>
          <t>L-07, I-01</t>
        </is>
      </c>
      <c r="H12" s="20" t="n"/>
      <c r="I12" s="20" t="n"/>
      <c r="J12" s="19" t="n"/>
    </row>
    <row r="13" ht="28" customHeight="1">
      <c r="A13" s="15" t="n">
        <v>8</v>
      </c>
      <c r="B13" s="8" t="inlineStr">
        <is>
          <t>Control de acceso, requisas, bitácora de portería y control de sellos</t>
        </is>
      </c>
      <c r="C13" s="8" t="inlineStr">
        <is>
          <t>Seguridad física</t>
        </is>
      </c>
      <c r="D13" s="8" t="inlineStr">
        <is>
          <t>Seguridad física</t>
        </is>
      </c>
      <c r="E13" s="8" t="inlineStr">
        <is>
          <t>BASC / OEA</t>
        </is>
      </c>
      <c r="F13" s="8" t="inlineStr">
        <is>
          <t>Bitácora de portería y de sellos</t>
        </is>
      </c>
      <c r="G13" s="15" t="inlineStr">
        <is>
          <t>I-03, I-06</t>
        </is>
      </c>
      <c r="H13" s="20" t="n"/>
      <c r="I13" s="20" t="n"/>
      <c r="J13" s="19" t="n"/>
    </row>
    <row r="14" ht="28" customHeight="1">
      <c r="A14" s="15" t="n">
        <v>9</v>
      </c>
      <c r="B14" s="8" t="inlineStr">
        <is>
          <t>Revisión del nivel de ocupación, producto en piso y bloqueo de pasillos</t>
        </is>
      </c>
      <c r="C14" s="8" t="inlineStr">
        <is>
          <t>Capacidad</t>
        </is>
      </c>
      <c r="D14" s="8" t="inlineStr">
        <is>
          <t>Jefe de CEDI</t>
        </is>
      </c>
      <c r="E14" s="8" t="inlineStr">
        <is>
          <t>Política interna</t>
        </is>
      </c>
      <c r="F14" s="8" t="inlineStr">
        <is>
          <t>Reporte de ocupación del WMS</t>
        </is>
      </c>
      <c r="G14" s="15" t="inlineStr">
        <is>
          <t>C-01, C-03</t>
        </is>
      </c>
      <c r="H14" s="20" t="n"/>
      <c r="I14" s="20" t="n"/>
      <c r="J14" s="19" t="n"/>
    </row>
    <row r="15" ht="28" customHeight="1">
      <c r="A15" s="15" t="n">
        <v>10</v>
      </c>
      <c r="B15" s="8" t="inlineStr">
        <is>
          <t>Verificación de rumas y apilamiento en bloque (altura, estabilidad, demarcación)</t>
        </is>
      </c>
      <c r="C15" s="8" t="inlineStr">
        <is>
          <t>Almacenamiento en piso</t>
        </is>
      </c>
      <c r="D15" s="8" t="inlineStr">
        <is>
          <t>Supervisor de turno</t>
        </is>
      </c>
      <c r="E15" s="8" t="inlineStr">
        <is>
          <t>NFPA 230</t>
        </is>
      </c>
      <c r="F15" s="8" t="inlineStr">
        <is>
          <t>Ronda de piso</t>
        </is>
      </c>
      <c r="G15" s="15" t="inlineStr">
        <is>
          <t>B-09</t>
        </is>
      </c>
      <c r="H15" s="20" t="n"/>
      <c r="I15" s="20" t="n"/>
      <c r="J15" s="19" t="n"/>
    </row>
    <row r="17" ht="22" customHeight="1">
      <c r="A17" s="4" t="inlineStr">
        <is>
          <t xml:space="preserve">  SEMANAL</t>
        </is>
      </c>
    </row>
    <row r="18" ht="30" customHeight="1">
      <c r="A18" s="6" t="inlineStr">
        <is>
          <t>#</t>
        </is>
      </c>
      <c r="B18" s="6" t="inlineStr">
        <is>
          <t>Actividad de inspección o verificación</t>
        </is>
      </c>
      <c r="C18" s="6" t="inlineStr">
        <is>
          <t>Elemento o sistema</t>
        </is>
      </c>
      <c r="D18" s="6" t="inlineStr">
        <is>
          <t>Responsable</t>
        </is>
      </c>
      <c r="E18" s="6" t="inlineStr">
        <is>
          <t>Norma o referencia</t>
        </is>
      </c>
      <c r="F18" s="6" t="inlineStr">
        <is>
          <t>Registro que se genera</t>
        </is>
      </c>
      <c r="G18" s="6" t="inlineStr">
        <is>
          <t>Riesgos (ID)</t>
        </is>
      </c>
      <c r="H18" s="6" t="inlineStr">
        <is>
          <t>Última ejecución</t>
        </is>
      </c>
      <c r="I18" s="6" t="inlineStr">
        <is>
          <t>Próxima programada</t>
        </is>
      </c>
      <c r="J18" s="6" t="inlineStr">
        <is>
          <t>Estado</t>
        </is>
      </c>
    </row>
    <row r="19" ht="28" customHeight="1">
      <c r="A19" s="15" t="n">
        <v>1</v>
      </c>
      <c r="B19" s="8" t="inlineStr">
        <is>
          <t>Inspección visual de estantería por el PRRS con clasificación verde / ámbar / rojo y bloqueo de módulos rojos</t>
        </is>
      </c>
      <c r="C19" s="8" t="inlineStr">
        <is>
          <t>Estantería</t>
        </is>
      </c>
      <c r="D19" s="8" t="inlineStr">
        <is>
          <t>PRRS</t>
        </is>
      </c>
      <c r="E19" s="8" t="inlineStr">
        <is>
          <t>EN 15635 §9</t>
        </is>
      </c>
      <c r="F19" s="8" t="inlineStr">
        <is>
          <t>Formato de inspección por módulo</t>
        </is>
      </c>
      <c r="G19" s="15" t="inlineStr">
        <is>
          <t>B-01, B-02, B-04</t>
        </is>
      </c>
      <c r="H19" s="20" t="n"/>
      <c r="I19" s="20" t="n"/>
      <c r="J19" s="19" t="n"/>
    </row>
    <row r="20" ht="28" customHeight="1">
      <c r="A20" s="15" t="n">
        <v>2</v>
      </c>
      <c r="B20" s="8" t="inlineStr">
        <is>
          <t>Arranque semanal de la bomba contra incendio sin flujo y verificación de presiones</t>
        </is>
      </c>
      <c r="C20" s="8" t="inlineStr">
        <is>
          <t>Protección contra incendio</t>
        </is>
      </c>
      <c r="D20" s="8" t="inlineStr">
        <is>
          <t>Mantenimiento</t>
        </is>
      </c>
      <c r="E20" s="8" t="inlineStr">
        <is>
          <t>NFPA 25</t>
        </is>
      </c>
      <c r="F20" s="8" t="inlineStr">
        <is>
          <t>Registro de arranque</t>
        </is>
      </c>
      <c r="G20" s="15" t="inlineStr">
        <is>
          <t>F-02</t>
        </is>
      </c>
      <c r="H20" s="20" t="n"/>
      <c r="I20" s="20" t="n"/>
      <c r="J20" s="19" t="n"/>
    </row>
    <row r="21" ht="28" customHeight="1">
      <c r="A21" s="15" t="n">
        <v>3</v>
      </c>
      <c r="B21" s="8" t="inlineStr">
        <is>
          <t>Verificación de válvulas de control del sistema de rociadores abiertas y aseguradas</t>
        </is>
      </c>
      <c r="C21" s="8" t="inlineStr">
        <is>
          <t>Rociadores</t>
        </is>
      </c>
      <c r="D21" s="8" t="inlineStr">
        <is>
          <t>Mantenimiento / HSE</t>
        </is>
      </c>
      <c r="E21" s="8" t="inlineStr">
        <is>
          <t>NFPA 25</t>
        </is>
      </c>
      <c r="F21" s="8" t="inlineStr">
        <is>
          <t>Checklist de válvulas</t>
        </is>
      </c>
      <c r="G21" s="15" t="inlineStr">
        <is>
          <t>F-01</t>
        </is>
      </c>
      <c r="H21" s="20" t="n"/>
      <c r="I21" s="20" t="n"/>
      <c r="J21" s="19" t="n"/>
    </row>
    <row r="22" ht="28" customHeight="1">
      <c r="A22" s="15" t="n">
        <v>4</v>
      </c>
      <c r="B22" s="8" t="inlineStr">
        <is>
          <t>Revisión del patio de estibas y de residuos: separación del edificio, altura de rumas y evacuación</t>
        </is>
      </c>
      <c r="C22" s="8" t="inlineStr">
        <is>
          <t>Carga de fuego</t>
        </is>
      </c>
      <c r="D22" s="8" t="inlineStr">
        <is>
          <t>HSE / Servicios generales</t>
        </is>
      </c>
      <c r="E22" s="8" t="inlineStr">
        <is>
          <t>NFPA 230 / FM DS 8-24</t>
        </is>
      </c>
      <c r="F22" s="8" t="inlineStr">
        <is>
          <t>Ronda de carga de fuego</t>
        </is>
      </c>
      <c r="G22" s="15" t="inlineStr">
        <is>
          <t>F-09</t>
        </is>
      </c>
      <c r="H22" s="20" t="n"/>
      <c r="I22" s="20" t="n"/>
      <c r="J22" s="19" t="n"/>
    </row>
    <row r="23" ht="28" customHeight="1">
      <c r="A23" s="15" t="n">
        <v>5</v>
      </c>
      <c r="B23" s="8" t="inlineStr">
        <is>
          <t>Revisión de indicadores semanales: ocupación, averías, cumplimiento de citas, ERI, accidentalidad</t>
        </is>
      </c>
      <c r="C23" s="8" t="inlineStr">
        <is>
          <t>Gestión</t>
        </is>
      </c>
      <c r="D23" s="8" t="inlineStr">
        <is>
          <t>Jefe de CEDI</t>
        </is>
      </c>
      <c r="E23" s="8" t="inlineStr">
        <is>
          <t>ISO 9001</t>
        </is>
      </c>
      <c r="F23" s="8" t="inlineStr">
        <is>
          <t>Tablero de indicadores</t>
        </is>
      </c>
      <c r="G23" s="15" t="inlineStr">
        <is>
          <t>M-05, D-06, L-08</t>
        </is>
      </c>
      <c r="H23" s="20" t="n"/>
      <c r="I23" s="20" t="n"/>
      <c r="J23" s="19" t="n"/>
    </row>
    <row r="24" ht="28" customHeight="1">
      <c r="A24" s="15" t="n">
        <v>6</v>
      </c>
      <c r="B24" s="8" t="inlineStr">
        <is>
          <t>Reporte de producto próximo a vencer y verificación de FEFO</t>
        </is>
      </c>
      <c r="C24" s="8" t="inlineStr">
        <is>
          <t>Inventario / calidad</t>
        </is>
      </c>
      <c r="D24" s="8" t="inlineStr">
        <is>
          <t>Calidad</t>
        </is>
      </c>
      <c r="E24" s="8" t="inlineStr">
        <is>
          <t>BPM</t>
        </is>
      </c>
      <c r="F24" s="8" t="inlineStr">
        <is>
          <t>Reporte de vencimientos</t>
        </is>
      </c>
      <c r="G24" s="15" t="inlineStr">
        <is>
          <t>L-04</t>
        </is>
      </c>
      <c r="H24" s="20" t="n"/>
      <c r="I24" s="20" t="n"/>
      <c r="J24" s="19" t="n"/>
    </row>
    <row r="26" ht="22" customHeight="1">
      <c r="A26" s="4" t="inlineStr">
        <is>
          <t xml:space="preserve">  MENSUAL</t>
        </is>
      </c>
    </row>
    <row r="27" ht="30" customHeight="1">
      <c r="A27" s="6" t="inlineStr">
        <is>
          <t>#</t>
        </is>
      </c>
      <c r="B27" s="6" t="inlineStr">
        <is>
          <t>Actividad de inspección o verificación</t>
        </is>
      </c>
      <c r="C27" s="6" t="inlineStr">
        <is>
          <t>Elemento o sistema</t>
        </is>
      </c>
      <c r="D27" s="6" t="inlineStr">
        <is>
          <t>Responsable</t>
        </is>
      </c>
      <c r="E27" s="6" t="inlineStr">
        <is>
          <t>Norma o referencia</t>
        </is>
      </c>
      <c r="F27" s="6" t="inlineStr">
        <is>
          <t>Registro que se genera</t>
        </is>
      </c>
      <c r="G27" s="6" t="inlineStr">
        <is>
          <t>Riesgos (ID)</t>
        </is>
      </c>
      <c r="H27" s="6" t="inlineStr">
        <is>
          <t>Última ejecución</t>
        </is>
      </c>
      <c r="I27" s="6" t="inlineStr">
        <is>
          <t>Próxima programada</t>
        </is>
      </c>
      <c r="J27" s="6" t="inlineStr">
        <is>
          <t>Estado</t>
        </is>
      </c>
    </row>
    <row r="28" ht="28" customHeight="1">
      <c r="A28" s="15" t="n">
        <v>1</v>
      </c>
      <c r="B28" s="8" t="inlineStr">
        <is>
          <t>Inspección de extintores: presión, sello, señalización, acceso y fecha de vencimiento</t>
        </is>
      </c>
      <c r="C28" s="8" t="inlineStr">
        <is>
          <t>Extintores</t>
        </is>
      </c>
      <c r="D28" s="8" t="inlineStr">
        <is>
          <t>HSE / Brigada</t>
        </is>
      </c>
      <c r="E28" s="8" t="inlineStr">
        <is>
          <t>NFPA 10 / NTC 2885</t>
        </is>
      </c>
      <c r="F28" s="8" t="inlineStr">
        <is>
          <t>Tarjeta de inspección</t>
        </is>
      </c>
      <c r="G28" s="15" t="inlineStr">
        <is>
          <t>F-04</t>
        </is>
      </c>
      <c r="H28" s="20" t="n"/>
      <c r="I28" s="20" t="n"/>
      <c r="J28" s="19" t="n"/>
    </row>
    <row r="29" ht="28" customHeight="1">
      <c r="A29" s="15" t="n">
        <v>2</v>
      </c>
      <c r="B29" s="8" t="inlineStr">
        <is>
          <t>Prueba funcional (30 segundos) de la iluminación de emergencia</t>
        </is>
      </c>
      <c r="C29" s="8" t="inlineStr">
        <is>
          <t>Evacuación</t>
        </is>
      </c>
      <c r="D29" s="8" t="inlineStr">
        <is>
          <t>Mantenimiento</t>
        </is>
      </c>
      <c r="E29" s="8" t="inlineStr">
        <is>
          <t>NFPA 101</t>
        </is>
      </c>
      <c r="F29" s="8" t="inlineStr">
        <is>
          <t>Registro de prueba</t>
        </is>
      </c>
      <c r="G29" s="15" t="inlineStr">
        <is>
          <t>F-12</t>
        </is>
      </c>
      <c r="H29" s="20" t="n"/>
      <c r="I29" s="20" t="n"/>
      <c r="J29" s="19" t="n"/>
    </row>
    <row r="30" ht="28" customHeight="1">
      <c r="A30" s="15" t="n">
        <v>3</v>
      </c>
      <c r="B30" s="8" t="inlineStr">
        <is>
          <t>Lectura de manómetros y revisión del panel de detección y alarma</t>
        </is>
      </c>
      <c r="C30" s="8" t="inlineStr">
        <is>
          <t>Protección contra incendio</t>
        </is>
      </c>
      <c r="D30" s="8" t="inlineStr">
        <is>
          <t>Mantenimiento</t>
        </is>
      </c>
      <c r="E30" s="8" t="inlineStr">
        <is>
          <t>NFPA 25 / NFPA 72</t>
        </is>
      </c>
      <c r="F30" s="8" t="inlineStr">
        <is>
          <t>Registro mensual</t>
        </is>
      </c>
      <c r="G30" s="15" t="inlineStr">
        <is>
          <t>F-01, F-03</t>
        </is>
      </c>
      <c r="H30" s="20" t="n"/>
      <c r="I30" s="20" t="n"/>
      <c r="J30" s="19" t="n"/>
    </row>
    <row r="31" ht="28" customHeight="1">
      <c r="A31" s="15" t="n">
        <v>4</v>
      </c>
      <c r="B31" s="8" t="inlineStr">
        <is>
          <t>Auditoría de comportamiento en la interacción montacargas-peatón y de velocidades</t>
        </is>
      </c>
      <c r="C31" s="8" t="inlineStr">
        <is>
          <t>Seguridad operativa</t>
        </is>
      </c>
      <c r="D31" s="8" t="inlineStr">
        <is>
          <t>HSE</t>
        </is>
      </c>
      <c r="E31" s="8" t="inlineStr">
        <is>
          <t>SG-SST</t>
        </is>
      </c>
      <c r="F31" s="8" t="inlineStr">
        <is>
          <t>Informe de observación</t>
        </is>
      </c>
      <c r="G31" s="15" t="inlineStr">
        <is>
          <t>E-01, E-09</t>
        </is>
      </c>
      <c r="H31" s="20" t="n"/>
      <c r="I31" s="20" t="n"/>
      <c r="J31" s="19" t="n"/>
    </row>
    <row r="32" ht="28" customHeight="1">
      <c r="A32" s="15" t="n">
        <v>5</v>
      </c>
      <c r="B32" s="8" t="inlineStr">
        <is>
          <t>Inspección de la sala de carga de baterías y de la zona de litio: ventilación, ducha, lavaojos y kit</t>
        </is>
      </c>
      <c r="C32" s="8" t="inlineStr">
        <is>
          <t>Baterías</t>
        </is>
      </c>
      <c r="D32" s="8" t="inlineStr">
        <is>
          <t>Mantenimiento / HSE</t>
        </is>
      </c>
      <c r="E32" s="8" t="inlineStr">
        <is>
          <t>NFPA 855 / OSHA 1910.178(g)</t>
        </is>
      </c>
      <c r="F32" s="8" t="inlineStr">
        <is>
          <t>Checklist de sala de baterías</t>
        </is>
      </c>
      <c r="G32" s="15" t="inlineStr">
        <is>
          <t>E-05, E-06</t>
        </is>
      </c>
      <c r="H32" s="20" t="n"/>
      <c r="I32" s="20" t="n"/>
      <c r="J32" s="19" t="n"/>
    </row>
    <row r="33" ht="28" customHeight="1">
      <c r="A33" s="15" t="n">
        <v>6</v>
      </c>
      <c r="B33" s="8" t="inlineStr">
        <is>
          <t>Revisión de instalaciones eléctricas provisionales, extensiones y tableros cerrados y rotulados</t>
        </is>
      </c>
      <c r="C33" s="8" t="inlineStr">
        <is>
          <t>Instalación eléctrica</t>
        </is>
      </c>
      <c r="D33" s="8" t="inlineStr">
        <is>
          <t>Mantenimiento</t>
        </is>
      </c>
      <c r="E33" s="8" t="inlineStr">
        <is>
          <t>RETIE / NFPA 70B</t>
        </is>
      </c>
      <c r="F33" s="8" t="inlineStr">
        <is>
          <t>Reporte de hallazgos</t>
        </is>
      </c>
      <c r="G33" s="15" t="inlineStr">
        <is>
          <t>F-08, H-01</t>
        </is>
      </c>
      <c r="H33" s="20" t="n"/>
      <c r="I33" s="20" t="n"/>
      <c r="J33" s="19" t="n"/>
    </row>
    <row r="34" ht="28" customHeight="1">
      <c r="A34" s="15" t="n">
        <v>7</v>
      </c>
      <c r="B34" s="8" t="inlineStr">
        <is>
          <t>Verificación de la matriz de operadores certificados, contratistas y personal en misión</t>
        </is>
      </c>
      <c r="C34" s="8" t="inlineStr">
        <is>
          <t>Personas</t>
        </is>
      </c>
      <c r="D34" s="8" t="inlineStr">
        <is>
          <t>HSE / Talento humano</t>
        </is>
      </c>
      <c r="E34" s="8" t="inlineStr">
        <is>
          <t>SG-SST / OSHA 1910.178(l)</t>
        </is>
      </c>
      <c r="F34" s="8" t="inlineStr">
        <is>
          <t>Matriz de autorización</t>
        </is>
      </c>
      <c r="G34" s="15" t="inlineStr">
        <is>
          <t>E-04, K-06, N-01</t>
        </is>
      </c>
      <c r="H34" s="20" t="n"/>
      <c r="I34" s="20" t="n"/>
      <c r="J34" s="19" t="n"/>
    </row>
    <row r="35" ht="28" customHeight="1">
      <c r="A35" s="15" t="n">
        <v>8</v>
      </c>
      <c r="B35" s="8" t="inlineStr">
        <is>
          <t>Informe del programa de control de plagas (MIP) y análisis de tendencia de capturas</t>
        </is>
      </c>
      <c r="C35" s="8" t="inlineStr">
        <is>
          <t>Sanidad</t>
        </is>
      </c>
      <c r="D35" s="8" t="inlineStr">
        <is>
          <t>Calidad</t>
        </is>
      </c>
      <c r="E35" s="8" t="inlineStr">
        <is>
          <t>BPM / Resolución 2674 de 2013</t>
        </is>
      </c>
      <c r="F35" s="8" t="inlineStr">
        <is>
          <t>Informe MIP</t>
        </is>
      </c>
      <c r="G35" s="15" t="inlineStr">
        <is>
          <t>L-02</t>
        </is>
      </c>
      <c r="H35" s="20" t="n"/>
      <c r="I35" s="20" t="n"/>
      <c r="J35" s="19" t="n"/>
    </row>
    <row r="36" ht="28" customHeight="1">
      <c r="A36" s="15" t="n">
        <v>9</v>
      </c>
      <c r="B36" s="8" t="inlineStr">
        <is>
          <t>Prueba de la planta eléctrica con carga y verificación de combustible y baterías de arranque</t>
        </is>
      </c>
      <c r="C36" s="8" t="inlineStr">
        <is>
          <t>Energía de respaldo</t>
        </is>
      </c>
      <c r="D36" s="8" t="inlineStr">
        <is>
          <t>Mantenimiento</t>
        </is>
      </c>
      <c r="E36" s="8" t="inlineStr">
        <is>
          <t>NFPA 110</t>
        </is>
      </c>
      <c r="F36" s="8" t="inlineStr">
        <is>
          <t>Registro de prueba</t>
        </is>
      </c>
      <c r="G36" s="15" t="inlineStr">
        <is>
          <t>H-03</t>
        </is>
      </c>
      <c r="H36" s="20" t="n"/>
      <c r="I36" s="20" t="n"/>
      <c r="J36" s="19" t="n"/>
    </row>
    <row r="37" ht="28" customHeight="1">
      <c r="A37" s="15" t="n">
        <v>10</v>
      </c>
      <c r="B37" s="8" t="inlineStr">
        <is>
          <t>Inspección de niveladores, rampas, puertas y abrigos de muelle</t>
        </is>
      </c>
      <c r="C37" s="8" t="inlineStr">
        <is>
          <t>Muelles</t>
        </is>
      </c>
      <c r="D37" s="8" t="inlineStr">
        <is>
          <t>Mantenimiento</t>
        </is>
      </c>
      <c r="E37" s="8" t="inlineStr">
        <is>
          <t>Manual del fabricante</t>
        </is>
      </c>
      <c r="F37" s="8" t="inlineStr">
        <is>
          <t>Checklist de muelle</t>
        </is>
      </c>
      <c r="G37" s="15" t="inlineStr">
        <is>
          <t>D-03, D-04</t>
        </is>
      </c>
      <c r="H37" s="20" t="n"/>
      <c r="I37" s="20" t="n"/>
      <c r="J37" s="19" t="n"/>
    </row>
    <row r="38" ht="28" customHeight="1">
      <c r="A38" s="15" t="n">
        <v>11</v>
      </c>
      <c r="B38" s="8" t="inlineStr">
        <is>
          <t>Comparación del valor del inventario contra el valor asegurado y las cláusulas de la póliza</t>
        </is>
      </c>
      <c r="C38" s="8" t="inlineStr">
        <is>
          <t>Financiero</t>
        </is>
      </c>
      <c r="D38" s="8" t="inlineStr">
        <is>
          <t>Finanzas</t>
        </is>
      </c>
      <c r="E38" s="8" t="inlineStr">
        <is>
          <t>Condiciones de la póliza</t>
        </is>
      </c>
      <c r="F38" s="8" t="inlineStr">
        <is>
          <t>Reporte de valorización</t>
        </is>
      </c>
      <c r="G38" s="15" t="inlineStr">
        <is>
          <t>C-04, O-02</t>
        </is>
      </c>
      <c r="H38" s="20" t="n"/>
      <c r="I38" s="20" t="n"/>
      <c r="J38" s="19" t="n"/>
    </row>
    <row r="39" ht="28" customHeight="1">
      <c r="A39" s="15" t="n">
        <v>12</v>
      </c>
      <c r="B39" s="8" t="inlineStr">
        <is>
          <t>Verificación de botiquines, camillas, DEA y dotación de emergencia por turno</t>
        </is>
      </c>
      <c r="C39" s="8" t="inlineStr">
        <is>
          <t>Emergencias</t>
        </is>
      </c>
      <c r="D39" s="8" t="inlineStr">
        <is>
          <t>HSE / Brigada</t>
        </is>
      </c>
      <c r="E39" s="8" t="inlineStr">
        <is>
          <t>Resolución 0705 de 2007</t>
        </is>
      </c>
      <c r="F39" s="8" t="inlineStr">
        <is>
          <t>Inventario de botiquines</t>
        </is>
      </c>
      <c r="G39" s="15" t="inlineStr">
        <is>
          <t>K-09, F-11</t>
        </is>
      </c>
      <c r="H39" s="20" t="n"/>
      <c r="I39" s="20" t="n"/>
      <c r="J39" s="19" t="n"/>
    </row>
    <row r="40" ht="28" customHeight="1">
      <c r="A40" s="15" t="n">
        <v>13</v>
      </c>
      <c r="B40" s="8" t="inlineStr">
        <is>
          <t>Revisión de CCTV: cobertura, calidad de imagen, retención y prueba de recuperación de video</t>
        </is>
      </c>
      <c r="C40" s="8" t="inlineStr">
        <is>
          <t>Seguridad física</t>
        </is>
      </c>
      <c r="D40" s="8" t="inlineStr">
        <is>
          <t>Seguridad física</t>
        </is>
      </c>
      <c r="E40" s="8" t="inlineStr">
        <is>
          <t>BASC / requisitos del cliente</t>
        </is>
      </c>
      <c r="F40" s="8" t="inlineStr">
        <is>
          <t>Acta de verificación</t>
        </is>
      </c>
      <c r="G40" s="15" t="inlineStr">
        <is>
          <t>I-04</t>
        </is>
      </c>
      <c r="H40" s="20" t="n"/>
      <c r="I40" s="20" t="n"/>
      <c r="J40" s="19" t="n"/>
    </row>
    <row r="41" ht="28" customHeight="1">
      <c r="A41" s="15" t="n">
        <v>14</v>
      </c>
      <c r="B41" s="8" t="inlineStr">
        <is>
          <t>Verificación de distancia libre bajo rociadores (mínimo 45 cm) y de la altura máxima de almacenamiento</t>
        </is>
      </c>
      <c r="C41" s="8" t="inlineStr">
        <is>
          <t>Almacenamiento / incendio</t>
        </is>
      </c>
      <c r="D41" s="8" t="inlineStr">
        <is>
          <t>HSE / Jefe de CEDI</t>
        </is>
      </c>
      <c r="E41" s="8" t="inlineStr">
        <is>
          <t>NFPA 13</t>
        </is>
      </c>
      <c r="F41" s="8" t="inlineStr">
        <is>
          <t>Registro de medición</t>
        </is>
      </c>
      <c r="G41" s="15" t="inlineStr">
        <is>
          <t>A-06, C-02</t>
        </is>
      </c>
      <c r="H41" s="20" t="n"/>
      <c r="I41" s="20" t="n"/>
      <c r="J41" s="19" t="n"/>
    </row>
    <row r="42" ht="28" customHeight="1">
      <c r="A42" s="15" t="n">
        <v>15</v>
      </c>
      <c r="B42" s="8" t="inlineStr">
        <is>
          <t>Inspección de mercancías peligrosas: segregación, rotulado, FDS accesibles y kit de derrames</t>
        </is>
      </c>
      <c r="C42" s="8" t="inlineStr">
        <is>
          <t>MERPEL</t>
        </is>
      </c>
      <c r="D42" s="8" t="inlineStr">
        <is>
          <t>HSE / Calidad</t>
        </is>
      </c>
      <c r="E42" s="8" t="inlineStr">
        <is>
          <t>Decreto 1609 de 2002 / NFPA 400</t>
        </is>
      </c>
      <c r="F42" s="8" t="inlineStr">
        <is>
          <t>Checklist MERPEL</t>
        </is>
      </c>
      <c r="G42" s="15" t="inlineStr">
        <is>
          <t>L-05, L-06, F-06</t>
        </is>
      </c>
      <c r="H42" s="20" t="n"/>
      <c r="I42" s="20" t="n"/>
      <c r="J42" s="19" t="n"/>
    </row>
    <row r="43" ht="28" customHeight="1">
      <c r="A43" s="15" t="n">
        <v>16</v>
      </c>
      <c r="B43" s="8" t="inlineStr">
        <is>
          <t>Revisión de eventos, casi-accidentes y estado de las acciones abiertas del plan</t>
        </is>
      </c>
      <c r="C43" s="8" t="inlineStr">
        <is>
          <t>Gestión del riesgo</t>
        </is>
      </c>
      <c r="D43" s="8" t="inlineStr">
        <is>
          <t>HSE / Jefe de CEDI</t>
        </is>
      </c>
      <c r="E43" s="8" t="inlineStr">
        <is>
          <t>ISO 45001 / ISO 31000</t>
        </is>
      </c>
      <c r="F43" s="8" t="inlineStr">
        <is>
          <t>Acta de comité</t>
        </is>
      </c>
      <c r="G43" s="15" t="inlineStr">
        <is>
          <t>O-07</t>
        </is>
      </c>
      <c r="H43" s="20" t="n"/>
      <c r="I43" s="20" t="n"/>
      <c r="J43" s="19" t="n"/>
    </row>
    <row r="44" ht="28" customHeight="1">
      <c r="A44" s="15" t="n">
        <v>17</v>
      </c>
      <c r="B44" s="8" t="inlineStr">
        <is>
          <t>Verificación de pasadores de seguridad de vigas y de protectores de columna (muestreo por zona)</t>
        </is>
      </c>
      <c r="C44" s="8" t="inlineStr">
        <is>
          <t>Estantería</t>
        </is>
      </c>
      <c r="D44" s="8" t="inlineStr">
        <is>
          <t>PRRS</t>
        </is>
      </c>
      <c r="E44" s="8" t="inlineStr">
        <is>
          <t>EN 15635</t>
        </is>
      </c>
      <c r="F44" s="8" t="inlineStr">
        <is>
          <t>Checklist por zona</t>
        </is>
      </c>
      <c r="G44" s="15" t="inlineStr">
        <is>
          <t>B-04, B-05</t>
        </is>
      </c>
      <c r="H44" s="20" t="n"/>
      <c r="I44" s="20" t="n"/>
      <c r="J44" s="19" t="n"/>
    </row>
    <row r="46" ht="22" customHeight="1">
      <c r="A46" s="4" t="inlineStr">
        <is>
          <t xml:space="preserve">  TRIMESTRAL</t>
        </is>
      </c>
    </row>
    <row r="47" ht="30" customHeight="1">
      <c r="A47" s="6" t="inlineStr">
        <is>
          <t>#</t>
        </is>
      </c>
      <c r="B47" s="6" t="inlineStr">
        <is>
          <t>Actividad de inspección o verificación</t>
        </is>
      </c>
      <c r="C47" s="6" t="inlineStr">
        <is>
          <t>Elemento o sistema</t>
        </is>
      </c>
      <c r="D47" s="6" t="inlineStr">
        <is>
          <t>Responsable</t>
        </is>
      </c>
      <c r="E47" s="6" t="inlineStr">
        <is>
          <t>Norma o referencia</t>
        </is>
      </c>
      <c r="F47" s="6" t="inlineStr">
        <is>
          <t>Registro que se genera</t>
        </is>
      </c>
      <c r="G47" s="6" t="inlineStr">
        <is>
          <t>Riesgos (ID)</t>
        </is>
      </c>
      <c r="H47" s="6" t="inlineStr">
        <is>
          <t>Última ejecución</t>
        </is>
      </c>
      <c r="I47" s="6" t="inlineStr">
        <is>
          <t>Próxima programada</t>
        </is>
      </c>
      <c r="J47" s="6" t="inlineStr">
        <is>
          <t>Estado</t>
        </is>
      </c>
    </row>
    <row r="48" ht="28" customHeight="1">
      <c r="A48" s="15" t="n">
        <v>1</v>
      </c>
      <c r="B48" s="8" t="inlineStr">
        <is>
          <t>Prueba de dispositivos de alarma de flujo de agua y de supervisión de válvulas</t>
        </is>
      </c>
      <c r="C48" s="8" t="inlineStr">
        <is>
          <t>Protección contra incendio</t>
        </is>
      </c>
      <c r="D48" s="8" t="inlineStr">
        <is>
          <t>Mantenimiento</t>
        </is>
      </c>
      <c r="E48" s="8" t="inlineStr">
        <is>
          <t>NFPA 25</t>
        </is>
      </c>
      <c r="F48" s="8" t="inlineStr">
        <is>
          <t>Informe de prueba</t>
        </is>
      </c>
      <c r="G48" s="15" t="inlineStr">
        <is>
          <t>F-01, F-03</t>
        </is>
      </c>
      <c r="H48" s="20" t="n"/>
      <c r="I48" s="20" t="n"/>
      <c r="J48" s="19" t="n"/>
    </row>
    <row r="49" ht="28" customHeight="1">
      <c r="A49" s="15" t="n">
        <v>2</v>
      </c>
      <c r="B49" s="8" t="inlineStr">
        <is>
          <t>Inspección de gabinetes contra incendio, mangueras e hidrantes internos y externos</t>
        </is>
      </c>
      <c r="C49" s="8" t="inlineStr">
        <is>
          <t>Red hidráulica</t>
        </is>
      </c>
      <c r="D49" s="8" t="inlineStr">
        <is>
          <t>Mantenimiento / Brigada</t>
        </is>
      </c>
      <c r="E49" s="8" t="inlineStr">
        <is>
          <t>NFPA 25 / NFPA 14</t>
        </is>
      </c>
      <c r="F49" s="8" t="inlineStr">
        <is>
          <t>Registro de inspección</t>
        </is>
      </c>
      <c r="G49" s="15" t="inlineStr">
        <is>
          <t>F-05</t>
        </is>
      </c>
      <c r="H49" s="20" t="n"/>
      <c r="I49" s="20" t="n"/>
      <c r="J49" s="19" t="n"/>
    </row>
    <row r="50" ht="28" customHeight="1">
      <c r="A50" s="15" t="n">
        <v>3</v>
      </c>
      <c r="B50" s="8" t="inlineStr">
        <is>
          <t>Inspección de sellos cortafuego, puertas cortafuego y continuidad de la sectorización</t>
        </is>
      </c>
      <c r="C50" s="8" t="inlineStr">
        <is>
          <t>Sectorización</t>
        </is>
      </c>
      <c r="D50" s="8" t="inlineStr">
        <is>
          <t>Mantenimiento</t>
        </is>
      </c>
      <c r="E50" s="8" t="inlineStr">
        <is>
          <t>NFPA 80 / NFPA 221</t>
        </is>
      </c>
      <c r="F50" s="8" t="inlineStr">
        <is>
          <t>Checklist de sectorización</t>
        </is>
      </c>
      <c r="G50" s="15" t="inlineStr">
        <is>
          <t>A-04</t>
        </is>
      </c>
      <c r="H50" s="20" t="n"/>
      <c r="I50" s="20" t="n"/>
      <c r="J50" s="19" t="n"/>
    </row>
    <row r="51" ht="28" customHeight="1">
      <c r="A51" s="15" t="n">
        <v>4</v>
      </c>
      <c r="B51" s="8" t="inlineStr">
        <is>
          <t>Limpieza y revisión de cubierta, canales, bajantes y tragantes</t>
        </is>
      </c>
      <c r="C51" s="8" t="inlineStr">
        <is>
          <t>Cubierta</t>
        </is>
      </c>
      <c r="D51" s="8" t="inlineStr">
        <is>
          <t>Mantenimiento</t>
        </is>
      </c>
      <c r="E51" s="8" t="inlineStr">
        <is>
          <t>Manual del fabricante</t>
        </is>
      </c>
      <c r="F51" s="8" t="inlineStr">
        <is>
          <t>Orden de trabajo con fotos</t>
        </is>
      </c>
      <c r="G51" s="15" t="inlineStr">
        <is>
          <t>A-02, G-06</t>
        </is>
      </c>
      <c r="H51" s="20" t="n"/>
      <c r="I51" s="20" t="n"/>
      <c r="J51" s="19" t="n"/>
    </row>
    <row r="52" ht="28" customHeight="1">
      <c r="A52" s="15" t="n">
        <v>5</v>
      </c>
      <c r="B52" s="8" t="inlineStr">
        <is>
          <t>Inspección de mezanine, barandas, rodapiés, compuertas y escaleras</t>
        </is>
      </c>
      <c r="C52" s="8" t="inlineStr">
        <is>
          <t>Entrepisos</t>
        </is>
      </c>
      <c r="D52" s="8" t="inlineStr">
        <is>
          <t>Mantenimiento / HSE</t>
        </is>
      </c>
      <c r="E52" s="8" t="inlineStr">
        <is>
          <t>NSR-10 / Resolución 1409 de 2012</t>
        </is>
      </c>
      <c r="F52" s="8" t="inlineStr">
        <is>
          <t>Checklist de entrepiso</t>
        </is>
      </c>
      <c r="G52" s="15" t="inlineStr">
        <is>
          <t>B-08</t>
        </is>
      </c>
      <c r="H52" s="20" t="n"/>
      <c r="I52" s="20" t="n"/>
      <c r="J52" s="19" t="n"/>
    </row>
    <row r="53" ht="28" customHeight="1">
      <c r="A53" s="15" t="n">
        <v>6</v>
      </c>
      <c r="B53" s="8" t="inlineStr">
        <is>
          <t>Entrenamiento y verificación de cobertura de la brigada de emergencia por turno</t>
        </is>
      </c>
      <c r="C53" s="8" t="inlineStr">
        <is>
          <t>Emergencias</t>
        </is>
      </c>
      <c r="D53" s="8" t="inlineStr">
        <is>
          <t>HSE</t>
        </is>
      </c>
      <c r="E53" s="8" t="inlineStr">
        <is>
          <t>Decreto 1072 de 2015 / NFPA 600</t>
        </is>
      </c>
      <c r="F53" s="8" t="inlineStr">
        <is>
          <t>Registro de entrenamiento</t>
        </is>
      </c>
      <c r="G53" s="15" t="inlineStr">
        <is>
          <t>F-11</t>
        </is>
      </c>
      <c r="H53" s="20" t="n"/>
      <c r="I53" s="20" t="n"/>
      <c r="J53" s="19" t="n"/>
    </row>
    <row r="54" ht="28" customHeight="1">
      <c r="A54" s="15" t="n">
        <v>7</v>
      </c>
      <c r="B54" s="8" t="inlineStr">
        <is>
          <t>Inspección de EPP de trabajo en alturas: arneses, eslingas y puntos de anclaje</t>
        </is>
      </c>
      <c r="C54" s="8" t="inlineStr">
        <is>
          <t>SST</t>
        </is>
      </c>
      <c r="D54" s="8" t="inlineStr">
        <is>
          <t>HSE</t>
        </is>
      </c>
      <c r="E54" s="8" t="inlineStr">
        <is>
          <t>Resolución 1409 de 2012</t>
        </is>
      </c>
      <c r="F54" s="8" t="inlineStr">
        <is>
          <t>Formato de inspección de EPP</t>
        </is>
      </c>
      <c r="G54" s="15" t="inlineStr">
        <is>
          <t>K-03, E-08</t>
        </is>
      </c>
      <c r="H54" s="20" t="n"/>
      <c r="I54" s="20" t="n"/>
      <c r="J54" s="19" t="n"/>
    </row>
    <row r="55" ht="28" customHeight="1">
      <c r="A55" s="15" t="n">
        <v>8</v>
      </c>
      <c r="B55" s="8" t="inlineStr">
        <is>
          <t>Auditoría de seguridad física: hurto interno, sellos, accesos y análisis de pérdida desconocida</t>
        </is>
      </c>
      <c r="C55" s="8" t="inlineStr">
        <is>
          <t>Seguridad física</t>
        </is>
      </c>
      <c r="D55" s="8" t="inlineStr">
        <is>
          <t>Seguridad física</t>
        </is>
      </c>
      <c r="E55" s="8" t="inlineStr">
        <is>
          <t>ISO 28000 / BASC</t>
        </is>
      </c>
      <c r="F55" s="8" t="inlineStr">
        <is>
          <t>Informe de auditoría</t>
        </is>
      </c>
      <c r="G55" s="15" t="inlineStr">
        <is>
          <t>I-01, I-03, I-06</t>
        </is>
      </c>
      <c r="H55" s="20" t="n"/>
      <c r="I55" s="20" t="n"/>
      <c r="J55" s="19" t="n"/>
    </row>
    <row r="56" ht="28" customHeight="1">
      <c r="A56" s="15" t="n">
        <v>9</v>
      </c>
      <c r="B56" s="8" t="inlineStr">
        <is>
          <t>Recorrido perimetral: cerramiento, iluminación de seguridad, sensores y franja libre</t>
        </is>
      </c>
      <c r="C56" s="8" t="inlineStr">
        <is>
          <t>Perímetro</t>
        </is>
      </c>
      <c r="D56" s="8" t="inlineStr">
        <is>
          <t>Seguridad física</t>
        </is>
      </c>
      <c r="E56" s="8" t="inlineStr">
        <is>
          <t>BASC</t>
        </is>
      </c>
      <c r="F56" s="8" t="inlineStr">
        <is>
          <t>Informe de recorrido</t>
        </is>
      </c>
      <c r="G56" s="15" t="inlineStr">
        <is>
          <t>I-07</t>
        </is>
      </c>
      <c r="H56" s="20" t="n"/>
      <c r="I56" s="20" t="n"/>
      <c r="J56" s="19" t="n"/>
    </row>
    <row r="57" ht="28" customHeight="1">
      <c r="A57" s="15" t="n">
        <v>10</v>
      </c>
      <c r="B57" s="8" t="inlineStr">
        <is>
          <t>Inspección de mallas antiderrumbe, topes y protecciones de estantería</t>
        </is>
      </c>
      <c r="C57" s="8" t="inlineStr">
        <is>
          <t>Estantería</t>
        </is>
      </c>
      <c r="D57" s="8" t="inlineStr">
        <is>
          <t>PRRS / Mantenimiento</t>
        </is>
      </c>
      <c r="E57" s="8" t="inlineStr">
        <is>
          <t>EN 15635</t>
        </is>
      </c>
      <c r="F57" s="8" t="inlineStr">
        <is>
          <t>Checklist de protecciones</t>
        </is>
      </c>
      <c r="G57" s="15" t="inlineStr">
        <is>
          <t>B-11, B-05</t>
        </is>
      </c>
      <c r="H57" s="20" t="n"/>
      <c r="I57" s="20" t="n"/>
      <c r="J57" s="19" t="n"/>
    </row>
    <row r="58" ht="28" customHeight="1">
      <c r="A58" s="15" t="n">
        <v>11</v>
      </c>
      <c r="B58" s="8" t="inlineStr">
        <is>
          <t>Prueba de restauración de respaldos de información y revisión de accesos</t>
        </is>
      </c>
      <c r="C58" s="8" t="inlineStr">
        <is>
          <t>TI</t>
        </is>
      </c>
      <c r="D58" s="8" t="inlineStr">
        <is>
          <t>TI</t>
        </is>
      </c>
      <c r="E58" s="8" t="inlineStr">
        <is>
          <t>ISO 27001</t>
        </is>
      </c>
      <c r="F58" s="8" t="inlineStr">
        <is>
          <t>Acta de restauración</t>
        </is>
      </c>
      <c r="G58" s="15" t="inlineStr">
        <is>
          <t>J-02, J-04</t>
        </is>
      </c>
      <c r="H58" s="20" t="n"/>
      <c r="I58" s="20" t="n"/>
      <c r="J58" s="19" t="n"/>
    </row>
    <row r="59" ht="28" customHeight="1">
      <c r="A59" s="15" t="n">
        <v>12</v>
      </c>
      <c r="B59" s="8" t="inlineStr">
        <is>
          <t>Evaluación de proveedores críticos, 3PL y transportistas</t>
        </is>
      </c>
      <c r="C59" s="8" t="inlineStr">
        <is>
          <t>Terceros</t>
        </is>
      </c>
      <c r="D59" s="8" t="inlineStr">
        <is>
          <t>Compras / Jefe de CEDI</t>
        </is>
      </c>
      <c r="E59" s="8" t="inlineStr">
        <is>
          <t>ISO 9001</t>
        </is>
      </c>
      <c r="F59" s="8" t="inlineStr">
        <is>
          <t>Evaluación de proveedores</t>
        </is>
      </c>
      <c r="G59" s="15" t="inlineStr">
        <is>
          <t>N-03, N-04</t>
        </is>
      </c>
      <c r="H59" s="20" t="n"/>
      <c r="I59" s="20" t="n"/>
      <c r="J59" s="19" t="n"/>
    </row>
    <row r="60" ht="28" customHeight="1">
      <c r="A60" s="15" t="n">
        <v>13</v>
      </c>
      <c r="B60" s="8" t="inlineStr">
        <is>
          <t>Revisión de la matriz legal, permisos y fechas de vencimiento</t>
        </is>
      </c>
      <c r="C60" s="8" t="inlineStr">
        <is>
          <t>Cumplimiento</t>
        </is>
      </c>
      <c r="D60" s="8" t="inlineStr">
        <is>
          <t>HSE / Gerencia</t>
        </is>
      </c>
      <c r="E60" s="8" t="inlineStr">
        <is>
          <t>Normativa local</t>
        </is>
      </c>
      <c r="F60" s="8" t="inlineStr">
        <is>
          <t>Matriz legal actualizada</t>
        </is>
      </c>
      <c r="G60" s="15" t="inlineStr">
        <is>
          <t>O-01</t>
        </is>
      </c>
      <c r="H60" s="20" t="n"/>
      <c r="I60" s="20" t="n"/>
      <c r="J60" s="19" t="n"/>
    </row>
    <row r="61" ht="28" customHeight="1">
      <c r="A61" s="15" t="n">
        <v>14</v>
      </c>
      <c r="B61" s="8" t="inlineStr">
        <is>
          <t>Inspección visual de tableros eléctricos, cuartos técnicos y subestación</t>
        </is>
      </c>
      <c r="C61" s="8" t="inlineStr">
        <is>
          <t>Instalación eléctrica</t>
        </is>
      </c>
      <c r="D61" s="8" t="inlineStr">
        <is>
          <t>Mantenimiento</t>
        </is>
      </c>
      <c r="E61" s="8" t="inlineStr">
        <is>
          <t>RETIE / NFPA 70B</t>
        </is>
      </c>
      <c r="F61" s="8" t="inlineStr">
        <is>
          <t>Checklist eléctrico</t>
        </is>
      </c>
      <c r="G61" s="15" t="inlineStr">
        <is>
          <t>H-01, H-02</t>
        </is>
      </c>
      <c r="H61" s="20" t="n"/>
      <c r="I61" s="20" t="n"/>
      <c r="J61" s="19" t="n"/>
    </row>
    <row r="63" ht="22" customHeight="1">
      <c r="A63" s="4" t="inlineStr">
        <is>
          <t xml:space="preserve">  SEMESTRAL</t>
        </is>
      </c>
    </row>
    <row r="64" ht="30" customHeight="1">
      <c r="A64" s="6" t="inlineStr">
        <is>
          <t>#</t>
        </is>
      </c>
      <c r="B64" s="6" t="inlineStr">
        <is>
          <t>Actividad de inspección o verificación</t>
        </is>
      </c>
      <c r="C64" s="6" t="inlineStr">
        <is>
          <t>Elemento o sistema</t>
        </is>
      </c>
      <c r="D64" s="6" t="inlineStr">
        <is>
          <t>Responsable</t>
        </is>
      </c>
      <c r="E64" s="6" t="inlineStr">
        <is>
          <t>Norma o referencia</t>
        </is>
      </c>
      <c r="F64" s="6" t="inlineStr">
        <is>
          <t>Registro que se genera</t>
        </is>
      </c>
      <c r="G64" s="6" t="inlineStr">
        <is>
          <t>Riesgos (ID)</t>
        </is>
      </c>
      <c r="H64" s="6" t="inlineStr">
        <is>
          <t>Última ejecución</t>
        </is>
      </c>
      <c r="I64" s="6" t="inlineStr">
        <is>
          <t>Próxima programada</t>
        </is>
      </c>
      <c r="J64" s="6" t="inlineStr">
        <is>
          <t>Estado</t>
        </is>
      </c>
    </row>
    <row r="65" ht="28" customHeight="1">
      <c r="A65" s="15" t="n">
        <v>1</v>
      </c>
      <c r="B65" s="8" t="inlineStr">
        <is>
          <t>Simulacro de evacuación (idealmente uno por turno al año) con evaluación y plan de mejora</t>
        </is>
      </c>
      <c r="C65" s="8" t="inlineStr">
        <is>
          <t>Emergencias</t>
        </is>
      </c>
      <c r="D65" s="8" t="inlineStr">
        <is>
          <t>HSE / Brigada</t>
        </is>
      </c>
      <c r="E65" s="8" t="inlineStr">
        <is>
          <t>Decreto 1072 de 2015 / NTC 1700</t>
        </is>
      </c>
      <c r="F65" s="8" t="inlineStr">
        <is>
          <t>Acta de simulacro</t>
        </is>
      </c>
      <c r="G65" s="15" t="inlineStr">
        <is>
          <t>F-10</t>
        </is>
      </c>
      <c r="H65" s="20" t="n"/>
      <c r="I65" s="20" t="n"/>
      <c r="J65" s="19" t="n"/>
    </row>
    <row r="66" ht="28" customHeight="1">
      <c r="A66" s="15" t="n">
        <v>2</v>
      </c>
      <c r="B66" s="8" t="inlineStr">
        <is>
          <t>Medición de niveles de iluminación en bodega, muelles y patio</t>
        </is>
      </c>
      <c r="C66" s="8" t="inlineStr">
        <is>
          <t>Condiciones de trabajo</t>
        </is>
      </c>
      <c r="D66" s="8" t="inlineStr">
        <is>
          <t>HSE / Mantenimiento</t>
        </is>
      </c>
      <c r="E66" s="8" t="inlineStr">
        <is>
          <t>RETILAP / ISO 8995</t>
        </is>
      </c>
      <c r="F66" s="8" t="inlineStr">
        <is>
          <t>Informe de medición</t>
        </is>
      </c>
      <c r="G66" s="15" t="inlineStr">
        <is>
          <t>D-10</t>
        </is>
      </c>
      <c r="H66" s="20" t="n"/>
      <c r="I66" s="20" t="n"/>
      <c r="J66" s="19" t="n"/>
    </row>
    <row r="67" ht="28" customHeight="1">
      <c r="A67" s="15" t="n">
        <v>3</v>
      </c>
      <c r="B67" s="8" t="inlineStr">
        <is>
          <t>Prueba del procedimiento manual de contingencia ante caída del WMS</t>
        </is>
      </c>
      <c r="C67" s="8" t="inlineStr">
        <is>
          <t>TI / operación</t>
        </is>
      </c>
      <c r="D67" s="8" t="inlineStr">
        <is>
          <t>TI / Jefe de CEDI</t>
        </is>
      </c>
      <c r="E67" s="8" t="inlineStr">
        <is>
          <t>ISO 22301</t>
        </is>
      </c>
      <c r="F67" s="8" t="inlineStr">
        <is>
          <t>Acta de prueba</t>
        </is>
      </c>
      <c r="G67" s="15" t="inlineStr">
        <is>
          <t>J-01</t>
        </is>
      </c>
      <c r="H67" s="20" t="n"/>
      <c r="I67" s="20" t="n"/>
      <c r="J67" s="19" t="n"/>
    </row>
    <row r="68" ht="28" customHeight="1">
      <c r="A68" s="15" t="n">
        <v>4</v>
      </c>
      <c r="B68" s="8" t="inlineStr">
        <is>
          <t>Mantenimiento preventivo de niveladores, puertas y equipos de muelle</t>
        </is>
      </c>
      <c r="C68" s="8" t="inlineStr">
        <is>
          <t>Muelles</t>
        </is>
      </c>
      <c r="D68" s="8" t="inlineStr">
        <is>
          <t>Mantenimiento</t>
        </is>
      </c>
      <c r="E68" s="8" t="inlineStr">
        <is>
          <t>Manual del fabricante</t>
        </is>
      </c>
      <c r="F68" s="8" t="inlineStr">
        <is>
          <t>Orden de trabajo</t>
        </is>
      </c>
      <c r="G68" s="15" t="inlineStr">
        <is>
          <t>D-03</t>
        </is>
      </c>
      <c r="H68" s="20" t="n"/>
      <c r="I68" s="20" t="n"/>
      <c r="J68" s="19" t="n"/>
    </row>
    <row r="69" ht="28" customHeight="1">
      <c r="A69" s="15" t="n">
        <v>5</v>
      </c>
      <c r="B69" s="8" t="inlineStr">
        <is>
          <t>Inspección del piso industrial: juntas, fisuras, planitud y estado bajo placas base</t>
        </is>
      </c>
      <c r="C69" s="8" t="inlineStr">
        <is>
          <t>Piso</t>
        </is>
      </c>
      <c r="D69" s="8" t="inlineStr">
        <is>
          <t>Mantenimiento / Ingeniería</t>
        </is>
      </c>
      <c r="E69" s="8" t="inlineStr">
        <is>
          <t>EN 15620 / ACI 302</t>
        </is>
      </c>
      <c r="F69" s="8" t="inlineStr">
        <is>
          <t>Informe de piso</t>
        </is>
      </c>
      <c r="G69" s="15" t="inlineStr">
        <is>
          <t>A-03</t>
        </is>
      </c>
      <c r="H69" s="20" t="n"/>
      <c r="I69" s="20" t="n"/>
      <c r="J69" s="19" t="n"/>
    </row>
    <row r="70" ht="28" customHeight="1">
      <c r="A70" s="15" t="n">
        <v>6</v>
      </c>
      <c r="B70" s="8" t="inlineStr">
        <is>
          <t>Revisión de layout, flujos, slotting y análisis de recorridos</t>
        </is>
      </c>
      <c r="C70" s="8" t="inlineStr">
        <is>
          <t>Operación</t>
        </is>
      </c>
      <c r="D70" s="8" t="inlineStr">
        <is>
          <t>Ingeniería / Jefe de CEDI</t>
        </is>
      </c>
      <c r="E70" s="8" t="inlineStr">
        <is>
          <t>Buena práctica</t>
        </is>
      </c>
      <c r="F70" s="8" t="inlineStr">
        <is>
          <t>Plano actualizado y análisis ABC</t>
        </is>
      </c>
      <c r="G70" s="15" t="inlineStr">
        <is>
          <t>M-02, C-05</t>
        </is>
      </c>
      <c r="H70" s="20" t="n"/>
      <c r="I70" s="20" t="n"/>
      <c r="J70" s="19" t="n"/>
    </row>
    <row r="71" ht="28" customHeight="1">
      <c r="A71" s="15" t="n">
        <v>7</v>
      </c>
      <c r="B71" s="8" t="inlineStr">
        <is>
          <t>Actualización del análisis de amenaza de seguridad de la zona</t>
        </is>
      </c>
      <c r="C71" s="8" t="inlineStr">
        <is>
          <t>Seguridad física</t>
        </is>
      </c>
      <c r="D71" s="8" t="inlineStr">
        <is>
          <t>Seguridad física</t>
        </is>
      </c>
      <c r="E71" s="8" t="inlineStr">
        <is>
          <t>ISO 28000</t>
        </is>
      </c>
      <c r="F71" s="8" t="inlineStr">
        <is>
          <t>Estudio de amenaza</t>
        </is>
      </c>
      <c r="G71" s="15" t="inlineStr">
        <is>
          <t>I-02</t>
        </is>
      </c>
      <c r="H71" s="20" t="n"/>
      <c r="I71" s="20" t="n"/>
      <c r="J71" s="19" t="n"/>
    </row>
    <row r="72" ht="28" customHeight="1">
      <c r="A72" s="15" t="n">
        <v>8</v>
      </c>
      <c r="B72" s="8" t="inlineStr">
        <is>
          <t>Análisis de vulnerabilidades de TI y campaña de concientización</t>
        </is>
      </c>
      <c r="C72" s="8" t="inlineStr">
        <is>
          <t>Ciberseguridad</t>
        </is>
      </c>
      <c r="D72" s="8" t="inlineStr">
        <is>
          <t>TI</t>
        </is>
      </c>
      <c r="E72" s="8" t="inlineStr">
        <is>
          <t>ISO 27001 / NIST CSF</t>
        </is>
      </c>
      <c r="F72" s="8" t="inlineStr">
        <is>
          <t>Informe de vulnerabilidades</t>
        </is>
      </c>
      <c r="G72" s="15" t="inlineStr">
        <is>
          <t>J-02</t>
        </is>
      </c>
      <c r="H72" s="20" t="n"/>
      <c r="I72" s="20" t="n"/>
      <c r="J72" s="19" t="n"/>
    </row>
    <row r="73" ht="28" customHeight="1">
      <c r="A73" s="15" t="n">
        <v>9</v>
      </c>
      <c r="B73" s="8" t="inlineStr">
        <is>
          <t>Preparación pre-temporada de lluvias y vientos: drenajes, cubierta, patio y producto en piso</t>
        </is>
      </c>
      <c r="C73" s="8" t="inlineStr">
        <is>
          <t>Riesgos naturales</t>
        </is>
      </c>
      <c r="D73" s="8" t="inlineStr">
        <is>
          <t>Mantenimiento / HSE</t>
        </is>
      </c>
      <c r="E73" s="8" t="inlineStr">
        <is>
          <t>Plan de temporada</t>
        </is>
      </c>
      <c r="F73" s="8" t="inlineStr">
        <is>
          <t>Checklist pre-temporada</t>
        </is>
      </c>
      <c r="G73" s="15" t="inlineStr">
        <is>
          <t>G-04, G-05, G-06, A-02</t>
        </is>
      </c>
      <c r="H73" s="20" t="n"/>
      <c r="I73" s="20" t="n"/>
      <c r="J73" s="19" t="n"/>
    </row>
    <row r="74" ht="28" customHeight="1">
      <c r="A74" s="15" t="n">
        <v>10</v>
      </c>
      <c r="B74" s="8" t="inlineStr">
        <is>
          <t>Seguimiento al programa de ergonomía y a la vigilancia epidemiológica</t>
        </is>
      </c>
      <c r="C74" s="8" t="inlineStr">
        <is>
          <t>SST</t>
        </is>
      </c>
      <c r="D74" s="8" t="inlineStr">
        <is>
          <t>HSE / Medicina laboral</t>
        </is>
      </c>
      <c r="E74" s="8" t="inlineStr">
        <is>
          <t>ISO 11228 / SG-SST</t>
        </is>
      </c>
      <c r="F74" s="8" t="inlineStr">
        <is>
          <t>Informe del programa</t>
        </is>
      </c>
      <c r="G74" s="15" t="inlineStr">
        <is>
          <t>K-01</t>
        </is>
      </c>
      <c r="H74" s="20" t="n"/>
      <c r="I74" s="20" t="n"/>
      <c r="J74" s="19" t="n"/>
    </row>
    <row r="75" ht="28" customHeight="1">
      <c r="A75" s="15" t="n">
        <v>11</v>
      </c>
      <c r="B75" s="8" t="inlineStr">
        <is>
          <t>Site survey de cobertura de radiofrecuencia por zonas</t>
        </is>
      </c>
      <c r="C75" s="8" t="inlineStr">
        <is>
          <t>TI</t>
        </is>
      </c>
      <c r="D75" s="8" t="inlineStr">
        <is>
          <t>TI</t>
        </is>
      </c>
      <c r="E75" s="8" t="inlineStr">
        <is>
          <t>Buena práctica</t>
        </is>
      </c>
      <c r="F75" s="8" t="inlineStr">
        <is>
          <t>Mapa de calor de cobertura</t>
        </is>
      </c>
      <c r="G75" s="15" t="inlineStr">
        <is>
          <t>J-03</t>
        </is>
      </c>
      <c r="H75" s="20" t="n"/>
      <c r="I75" s="20" t="n"/>
      <c r="J75" s="19" t="n"/>
    </row>
    <row r="76" ht="28" customHeight="1">
      <c r="A76" s="15" t="n">
        <v>12</v>
      </c>
      <c r="B76" s="8" t="inlineStr">
        <is>
          <t>Medición de estrés térmico y verificación de rotación en cuartos fríos</t>
        </is>
      </c>
      <c r="C76" s="8" t="inlineStr">
        <is>
          <t>SST</t>
        </is>
      </c>
      <c r="D76" s="8" t="inlineStr">
        <is>
          <t>HSE</t>
        </is>
      </c>
      <c r="E76" s="8" t="inlineStr">
        <is>
          <t>ACGIH TLV</t>
        </is>
      </c>
      <c r="F76" s="8" t="inlineStr">
        <is>
          <t>Informe de medición</t>
        </is>
      </c>
      <c r="G76" s="15" t="inlineStr">
        <is>
          <t>K-04</t>
        </is>
      </c>
      <c r="H76" s="20" t="n"/>
      <c r="I76" s="20" t="n"/>
      <c r="J76" s="19" t="n"/>
    </row>
    <row r="78" ht="22" customHeight="1">
      <c r="A78" s="4" t="inlineStr">
        <is>
          <t xml:space="preserve">  ANUAL</t>
        </is>
      </c>
    </row>
    <row r="79" ht="30" customHeight="1">
      <c r="A79" s="6" t="inlineStr">
        <is>
          <t>#</t>
        </is>
      </c>
      <c r="B79" s="6" t="inlineStr">
        <is>
          <t>Actividad de inspección o verificación</t>
        </is>
      </c>
      <c r="C79" s="6" t="inlineStr">
        <is>
          <t>Elemento o sistema</t>
        </is>
      </c>
      <c r="D79" s="6" t="inlineStr">
        <is>
          <t>Responsable</t>
        </is>
      </c>
      <c r="E79" s="6" t="inlineStr">
        <is>
          <t>Norma o referencia</t>
        </is>
      </c>
      <c r="F79" s="6" t="inlineStr">
        <is>
          <t>Registro que se genera</t>
        </is>
      </c>
      <c r="G79" s="6" t="inlineStr">
        <is>
          <t>Riesgos (ID)</t>
        </is>
      </c>
      <c r="H79" s="6" t="inlineStr">
        <is>
          <t>Última ejecución</t>
        </is>
      </c>
      <c r="I79" s="6" t="inlineStr">
        <is>
          <t>Próxima programada</t>
        </is>
      </c>
      <c r="J79" s="6" t="inlineStr">
        <is>
          <t>Estado</t>
        </is>
      </c>
    </row>
    <row r="80" ht="28" customHeight="1">
      <c r="A80" s="15" t="n">
        <v>1</v>
      </c>
      <c r="B80" s="8" t="inlineStr">
        <is>
          <t>INSPECCIÓN EXPERTA DE ESTANTERÍA por tercero técnicamente competente, con informe y plan de reparación</t>
        </is>
      </c>
      <c r="C80" s="8" t="inlineStr">
        <is>
          <t>Estantería</t>
        </is>
      </c>
      <c r="D80" s="8" t="inlineStr">
        <is>
          <t>Tercero externo / PRRS</t>
        </is>
      </c>
      <c r="E80" s="8" t="inlineStr">
        <is>
          <t>EN 15635 §9.4</t>
        </is>
      </c>
      <c r="F80" s="8" t="inlineStr">
        <is>
          <t>Informe de inspección experta</t>
        </is>
      </c>
      <c r="G80" s="15" t="inlineStr">
        <is>
          <t>B-01, B-02, B-03, B-12</t>
        </is>
      </c>
      <c r="H80" s="20" t="n"/>
      <c r="I80" s="20" t="n"/>
      <c r="J80" s="19" t="n"/>
    </row>
    <row r="81" ht="28" customHeight="1">
      <c r="A81" s="15" t="n">
        <v>2</v>
      </c>
      <c r="B81" s="8" t="inlineStr">
        <is>
          <t>Prueba anual con flujo de la bomba contra incendio contra su curva de diseño</t>
        </is>
      </c>
      <c r="C81" s="8" t="inlineStr">
        <is>
          <t>Protección contra incendio</t>
        </is>
      </c>
      <c r="D81" s="8" t="inlineStr">
        <is>
          <t>Mantenimiento / tercero</t>
        </is>
      </c>
      <c r="E81" s="8" t="inlineStr">
        <is>
          <t>NFPA 25 / NFPA 20</t>
        </is>
      </c>
      <c r="F81" s="8" t="inlineStr">
        <is>
          <t>Informe de prueba de flujo</t>
        </is>
      </c>
      <c r="G81" s="15" t="inlineStr">
        <is>
          <t>F-02</t>
        </is>
      </c>
      <c r="H81" s="20" t="n"/>
      <c r="I81" s="20" t="n"/>
      <c r="J81" s="19" t="n"/>
    </row>
    <row r="82" ht="28" customHeight="1">
      <c r="A82" s="15" t="n">
        <v>3</v>
      </c>
      <c r="B82" s="8" t="inlineStr">
        <is>
          <t>Prueba de autonomía (90 minutos) de la iluminación de emergencia</t>
        </is>
      </c>
      <c r="C82" s="8" t="inlineStr">
        <is>
          <t>Evacuación</t>
        </is>
      </c>
      <c r="D82" s="8" t="inlineStr">
        <is>
          <t>Mantenimiento</t>
        </is>
      </c>
      <c r="E82" s="8" t="inlineStr">
        <is>
          <t>NFPA 101</t>
        </is>
      </c>
      <c r="F82" s="8" t="inlineStr">
        <is>
          <t>Registro de prueba</t>
        </is>
      </c>
      <c r="G82" s="15" t="inlineStr">
        <is>
          <t>F-12</t>
        </is>
      </c>
      <c r="H82" s="20" t="n"/>
      <c r="I82" s="20" t="n"/>
      <c r="J82" s="19" t="n"/>
    </row>
    <row r="83" ht="28" customHeight="1">
      <c r="A83" s="15" t="n">
        <v>4</v>
      </c>
      <c r="B83" s="8" t="inlineStr">
        <is>
          <t>Mantenimiento y recarga de extintores</t>
        </is>
      </c>
      <c r="C83" s="8" t="inlineStr">
        <is>
          <t>Extintores</t>
        </is>
      </c>
      <c r="D83" s="8" t="inlineStr">
        <is>
          <t>Proveedor certificado</t>
        </is>
      </c>
      <c r="E83" s="8" t="inlineStr">
        <is>
          <t>NFPA 10 / NTC 2885</t>
        </is>
      </c>
      <c r="F83" s="8" t="inlineStr">
        <is>
          <t>Certificado de recarga</t>
        </is>
      </c>
      <c r="G83" s="15" t="inlineStr">
        <is>
          <t>F-04</t>
        </is>
      </c>
      <c r="H83" s="20" t="n"/>
      <c r="I83" s="20" t="n"/>
      <c r="J83" s="19" t="n"/>
    </row>
    <row r="84" ht="28" customHeight="1">
      <c r="A84" s="15" t="n">
        <v>5</v>
      </c>
      <c r="B84" s="8" t="inlineStr">
        <is>
          <t>Certificación anual del sistema de detección y alarma</t>
        </is>
      </c>
      <c r="C84" s="8" t="inlineStr">
        <is>
          <t>Detección</t>
        </is>
      </c>
      <c r="D84" s="8" t="inlineStr">
        <is>
          <t>Tercero certificado</t>
        </is>
      </c>
      <c r="E84" s="8" t="inlineStr">
        <is>
          <t>NFPA 72</t>
        </is>
      </c>
      <c r="F84" s="8" t="inlineStr">
        <is>
          <t>Certificado de funcionamiento</t>
        </is>
      </c>
      <c r="G84" s="15" t="inlineStr">
        <is>
          <t>F-03</t>
        </is>
      </c>
      <c r="H84" s="20" t="n"/>
      <c r="I84" s="20" t="n"/>
      <c r="J84" s="19" t="n"/>
    </row>
    <row r="85" ht="28" customHeight="1">
      <c r="A85" s="15" t="n">
        <v>6</v>
      </c>
      <c r="B85" s="8" t="inlineStr">
        <is>
          <t>Termografía de tableros eléctricos con carga y cierre de anomalías</t>
        </is>
      </c>
      <c r="C85" s="8" t="inlineStr">
        <is>
          <t>Instalación eléctrica</t>
        </is>
      </c>
      <c r="D85" s="8" t="inlineStr">
        <is>
          <t>Tercero / Mantenimiento</t>
        </is>
      </c>
      <c r="E85" s="8" t="inlineStr">
        <is>
          <t>NFPA 70B / NETA</t>
        </is>
      </c>
      <c r="F85" s="8" t="inlineStr">
        <is>
          <t>Informe termográfico</t>
        </is>
      </c>
      <c r="G85" s="15" t="inlineStr">
        <is>
          <t>H-01</t>
        </is>
      </c>
      <c r="H85" s="20" t="n"/>
      <c r="I85" s="20" t="n"/>
      <c r="J85" s="19" t="n"/>
    </row>
    <row r="86" ht="28" customHeight="1">
      <c r="A86" s="15" t="n">
        <v>7</v>
      </c>
      <c r="B86" s="8" t="inlineStr">
        <is>
          <t>Mantenimiento de subestación y análisis de aceite dieléctrico</t>
        </is>
      </c>
      <c r="C86" s="8" t="inlineStr">
        <is>
          <t>Subestación</t>
        </is>
      </c>
      <c r="D86" s="8" t="inlineStr">
        <is>
          <t>Tercero certificado</t>
        </is>
      </c>
      <c r="E86" s="8" t="inlineStr">
        <is>
          <t>RETIE / IEEE C57</t>
        </is>
      </c>
      <c r="F86" s="8" t="inlineStr">
        <is>
          <t>Informe de mantenimiento</t>
        </is>
      </c>
      <c r="G86" s="15" t="inlineStr">
        <is>
          <t>H-02</t>
        </is>
      </c>
      <c r="H86" s="20" t="n"/>
      <c r="I86" s="20" t="n"/>
      <c r="J86" s="19" t="n"/>
    </row>
    <row r="87" ht="28" customHeight="1">
      <c r="A87" s="15" t="n">
        <v>8</v>
      </c>
      <c r="B87" s="8" t="inlineStr">
        <is>
          <t>Medición de resistencia de puesta a tierra y revisión del sistema de protección contra rayos</t>
        </is>
      </c>
      <c r="C87" s="8" t="inlineStr">
        <is>
          <t>Puesta a tierra / SPT</t>
        </is>
      </c>
      <c r="D87" s="8" t="inlineStr">
        <is>
          <t>Tercero certificado</t>
        </is>
      </c>
      <c r="E87" s="8" t="inlineStr">
        <is>
          <t>RETIE / NTC 4552 / NFPA 780</t>
        </is>
      </c>
      <c r="F87" s="8" t="inlineStr">
        <is>
          <t>Certificado de medición</t>
        </is>
      </c>
      <c r="G87" s="15" t="inlineStr">
        <is>
          <t>G-07</t>
        </is>
      </c>
      <c r="H87" s="20" t="n"/>
      <c r="I87" s="20" t="n"/>
      <c r="J87" s="19" t="n"/>
    </row>
    <row r="88" ht="28" customHeight="1">
      <c r="A88" s="15" t="n">
        <v>9</v>
      </c>
      <c r="B88" s="8" t="inlineStr">
        <is>
          <t>Calibración de sensores y registradores de temperatura</t>
        </is>
      </c>
      <c r="C88" s="8" t="inlineStr">
        <is>
          <t>Cadena de frío</t>
        </is>
      </c>
      <c r="D88" s="8" t="inlineStr">
        <is>
          <t>Laboratorio acreditado</t>
        </is>
      </c>
      <c r="E88" s="8" t="inlineStr">
        <is>
          <t>BPM / GDP</t>
        </is>
      </c>
      <c r="F88" s="8" t="inlineStr">
        <is>
          <t>Certificados de calibración</t>
        </is>
      </c>
      <c r="G88" s="15" t="inlineStr">
        <is>
          <t>L-01</t>
        </is>
      </c>
      <c r="H88" s="20" t="n"/>
      <c r="I88" s="20" t="n"/>
      <c r="J88" s="19" t="n"/>
    </row>
    <row r="89" ht="28" customHeight="1">
      <c r="A89" s="15" t="n">
        <v>10</v>
      </c>
      <c r="B89" s="8" t="inlineStr">
        <is>
          <t>Simulacro de trazabilidad y de retiro de producto (recall) con medición de tiempos</t>
        </is>
      </c>
      <c r="C89" s="8" t="inlineStr">
        <is>
          <t>Calidad</t>
        </is>
      </c>
      <c r="D89" s="8" t="inlineStr">
        <is>
          <t>Calidad</t>
        </is>
      </c>
      <c r="E89" s="8" t="inlineStr">
        <is>
          <t>ISO 22000 / BPM</t>
        </is>
      </c>
      <c r="F89" s="8" t="inlineStr">
        <is>
          <t>Acta de simulacro de recall</t>
        </is>
      </c>
      <c r="G89" s="15" t="inlineStr">
        <is>
          <t>L-10</t>
        </is>
      </c>
      <c r="H89" s="20" t="n"/>
      <c r="I89" s="20" t="n"/>
      <c r="J89" s="19" t="n"/>
    </row>
    <row r="90" ht="28" customHeight="1">
      <c r="A90" s="15" t="n">
        <v>11</v>
      </c>
      <c r="B90" s="8" t="inlineStr">
        <is>
          <t>Prueba del plan de continuidad del negocio y actualización del análisis de impacto (BIA)</t>
        </is>
      </c>
      <c r="C90" s="8" t="inlineStr">
        <is>
          <t>Continuidad</t>
        </is>
      </c>
      <c r="D90" s="8" t="inlineStr">
        <is>
          <t>Gerencia</t>
        </is>
      </c>
      <c r="E90" s="8" t="inlineStr">
        <is>
          <t>ISO 22301</t>
        </is>
      </c>
      <c r="F90" s="8" t="inlineStr">
        <is>
          <t>Acta de prueba del BCP</t>
        </is>
      </c>
      <c r="G90" s="15" t="inlineStr">
        <is>
          <t>O-04, O-05</t>
        </is>
      </c>
      <c r="H90" s="20" t="n"/>
      <c r="I90" s="20" t="n"/>
      <c r="J90" s="19" t="n"/>
    </row>
    <row r="91" ht="28" customHeight="1">
      <c r="A91" s="15" t="n">
        <v>12</v>
      </c>
      <c r="B91" s="8" t="inlineStr">
        <is>
          <t>Autoevaluación de estándares mínimos del SG-SST y formulación del plan de trabajo anual</t>
        </is>
      </c>
      <c r="C91" s="8" t="inlineStr">
        <is>
          <t>Cumplimiento SST</t>
        </is>
      </c>
      <c r="D91" s="8" t="inlineStr">
        <is>
          <t>HSE</t>
        </is>
      </c>
      <c r="E91" s="8" t="inlineStr">
        <is>
          <t>Resolución 0312 de 2019</t>
        </is>
      </c>
      <c r="F91" s="8" t="inlineStr">
        <is>
          <t>Autoevaluación y plan anual</t>
        </is>
      </c>
      <c r="G91" s="15" t="inlineStr">
        <is>
          <t>O-03</t>
        </is>
      </c>
      <c r="H91" s="20" t="n"/>
      <c r="I91" s="20" t="n"/>
      <c r="J91" s="19" t="n"/>
    </row>
    <row r="92" ht="28" customHeight="1">
      <c r="A92" s="15" t="n">
        <v>13</v>
      </c>
      <c r="B92" s="8" t="inlineStr">
        <is>
          <t>Renovación de pólizas, actualización de valores asegurados y cierre de recomendaciones de la aseguradora</t>
        </is>
      </c>
      <c r="C92" s="8" t="inlineStr">
        <is>
          <t>Aseguramiento</t>
        </is>
      </c>
      <c r="D92" s="8" t="inlineStr">
        <is>
          <t>Finanzas / Gerencia</t>
        </is>
      </c>
      <c r="E92" s="8" t="inlineStr">
        <is>
          <t>Condiciones de la póliza</t>
        </is>
      </c>
      <c r="F92" s="8" t="inlineStr">
        <is>
          <t>Póliza y plan de cierre</t>
        </is>
      </c>
      <c r="G92" s="15" t="inlineStr">
        <is>
          <t>O-02</t>
        </is>
      </c>
      <c r="H92" s="20" t="n"/>
      <c r="I92" s="20" t="n"/>
      <c r="J92" s="19" t="n"/>
    </row>
    <row r="93" ht="28" customHeight="1">
      <c r="A93" s="15" t="n">
        <v>14</v>
      </c>
      <c r="B93" s="8" t="inlineStr">
        <is>
          <t>Inventario general físico y conciliación contable</t>
        </is>
      </c>
      <c r="C93" s="8" t="inlineStr">
        <is>
          <t>Inventario</t>
        </is>
      </c>
      <c r="D93" s="8" t="inlineStr">
        <is>
          <t>Control de inventarios</t>
        </is>
      </c>
      <c r="E93" s="8" t="inlineStr">
        <is>
          <t>Buena práctica / ISO 9001</t>
        </is>
      </c>
      <c r="F93" s="8" t="inlineStr">
        <is>
          <t>Acta de inventario</t>
        </is>
      </c>
      <c r="G93" s="15" t="inlineStr">
        <is>
          <t>L-07</t>
        </is>
      </c>
      <c r="H93" s="20" t="n"/>
      <c r="I93" s="20" t="n"/>
      <c r="J93" s="19" t="n"/>
    </row>
    <row r="94" ht="28" customHeight="1">
      <c r="A94" s="15" t="n">
        <v>15</v>
      </c>
      <c r="B94" s="8" t="inlineStr">
        <is>
          <t>Mediciones higiénicas: ruido, iluminación y material particulado</t>
        </is>
      </c>
      <c r="C94" s="8" t="inlineStr">
        <is>
          <t>Higiene industrial</t>
        </is>
      </c>
      <c r="D94" s="8" t="inlineStr">
        <is>
          <t>HSE / tercero</t>
        </is>
      </c>
      <c r="E94" s="8" t="inlineStr">
        <is>
          <t>SG-SST</t>
        </is>
      </c>
      <c r="F94" s="8" t="inlineStr">
        <is>
          <t>Informes higiénicos</t>
        </is>
      </c>
      <c r="G94" s="15" t="inlineStr">
        <is>
          <t>K-05</t>
        </is>
      </c>
      <c r="H94" s="20" t="n"/>
      <c r="I94" s="20" t="n"/>
      <c r="J94" s="19" t="n"/>
    </row>
    <row r="95" ht="28" customHeight="1">
      <c r="A95" s="15" t="n">
        <v>16</v>
      </c>
      <c r="B95" s="8" t="inlineStr">
        <is>
          <t>Verificación de anclajes, torque y verticalidad de la estantería</t>
        </is>
      </c>
      <c r="C95" s="8" t="inlineStr">
        <is>
          <t>Estantería</t>
        </is>
      </c>
      <c r="D95" s="8" t="inlineStr">
        <is>
          <t>PRRS / instalador</t>
        </is>
      </c>
      <c r="E95" s="8" t="inlineStr">
        <is>
          <t>EN 15629 / EN 15635</t>
        </is>
      </c>
      <c r="F95" s="8" t="inlineStr">
        <is>
          <t>Protocolo de torque</t>
        </is>
      </c>
      <c r="G95" s="15" t="inlineStr">
        <is>
          <t>B-03</t>
        </is>
      </c>
      <c r="H95" s="20" t="n"/>
      <c r="I95" s="20" t="n"/>
      <c r="J95" s="19" t="n"/>
    </row>
    <row r="96" ht="28" customHeight="1">
      <c r="A96" s="15" t="n">
        <v>17</v>
      </c>
      <c r="B96" s="8" t="inlineStr">
        <is>
          <t>Actualización del plan de emergencias y visita de reconocimiento del cuerpo de bomberos</t>
        </is>
      </c>
      <c r="C96" s="8" t="inlineStr">
        <is>
          <t>Emergencias</t>
        </is>
      </c>
      <c r="D96" s="8" t="inlineStr">
        <is>
          <t>HSE</t>
        </is>
      </c>
      <c r="E96" s="8" t="inlineStr">
        <is>
          <t>NFPA 1600 / Decreto 1072 de 2015</t>
        </is>
      </c>
      <c r="F96" s="8" t="inlineStr">
        <is>
          <t>Plan actualizado y acta de visita</t>
        </is>
      </c>
      <c r="G96" s="15" t="inlineStr">
        <is>
          <t>F-13, G-09</t>
        </is>
      </c>
      <c r="H96" s="20" t="n"/>
      <c r="I96" s="20" t="n"/>
      <c r="J96" s="19" t="n"/>
    </row>
    <row r="97" ht="28" customHeight="1">
      <c r="A97" s="15" t="n">
        <v>18</v>
      </c>
      <c r="B97" s="8" t="inlineStr">
        <is>
          <t>Medición de desgaste de horquillas de los equipos de manipulación (máximo 10%)</t>
        </is>
      </c>
      <c r="C97" s="8" t="inlineStr">
        <is>
          <t>MHE</t>
        </is>
      </c>
      <c r="D97" s="8" t="inlineStr">
        <is>
          <t>Mantenimiento</t>
        </is>
      </c>
      <c r="E97" s="8" t="inlineStr">
        <is>
          <t>ISO 5057</t>
        </is>
      </c>
      <c r="F97" s="8" t="inlineStr">
        <is>
          <t>Registro de medición</t>
        </is>
      </c>
      <c r="G97" s="15" t="inlineStr">
        <is>
          <t>E-03</t>
        </is>
      </c>
      <c r="H97" s="20" t="n"/>
      <c r="I97" s="20" t="n"/>
      <c r="J97" s="19" t="n"/>
    </row>
    <row r="98" ht="28" customHeight="1">
      <c r="A98" s="15" t="n">
        <v>19</v>
      </c>
      <c r="B98" s="8" t="inlineStr">
        <is>
          <t>Auditoría del programa de seguridad de la carga y certificación BASC / OEA</t>
        </is>
      </c>
      <c r="C98" s="8" t="inlineStr">
        <is>
          <t>Seguridad de la carga</t>
        </is>
      </c>
      <c r="D98" s="8" t="inlineStr">
        <is>
          <t>Seguridad física / Comercio exterior</t>
        </is>
      </c>
      <c r="E98" s="8" t="inlineStr">
        <is>
          <t>BASC / OEA / C-TPAT</t>
        </is>
      </c>
      <c r="F98" s="8" t="inlineStr">
        <is>
          <t>Informe de auditoría</t>
        </is>
      </c>
      <c r="G98" s="15" t="inlineStr">
        <is>
          <t>I-05, I-08</t>
        </is>
      </c>
      <c r="H98" s="20" t="n"/>
      <c r="I98" s="20" t="n"/>
      <c r="J98" s="19" t="n"/>
    </row>
    <row r="99" ht="28" customHeight="1">
      <c r="A99" s="15" t="n">
        <v>20</v>
      </c>
      <c r="B99" s="8" t="inlineStr">
        <is>
          <t>Revisión de la carga de fuego y de la clasificación de mercancía frente al diseño de rociadores</t>
        </is>
      </c>
      <c r="C99" s="8" t="inlineStr">
        <is>
          <t>Incendio</t>
        </is>
      </c>
      <c r="D99" s="8" t="inlineStr">
        <is>
          <t>HSE / Ingeniería</t>
        </is>
      </c>
      <c r="E99" s="8" t="inlineStr">
        <is>
          <t>NFPA 13 / NFPA 230</t>
        </is>
      </c>
      <c r="F99" s="8" t="inlineStr">
        <is>
          <t>Estudio de clasificación</t>
        </is>
      </c>
      <c r="G99" s="15" t="inlineStr">
        <is>
          <t>C-02</t>
        </is>
      </c>
      <c r="H99" s="20" t="n"/>
      <c r="I99" s="20" t="n"/>
      <c r="J99" s="19" t="n"/>
    </row>
    <row r="100" ht="28" customHeight="1">
      <c r="A100" s="15" t="n">
        <v>21</v>
      </c>
      <c r="B100" s="8" t="inlineStr">
        <is>
          <t>Evaluación de dispositivos de retención de carga en niveles altos (riesgo sísmico)</t>
        </is>
      </c>
      <c r="C100" s="8" t="inlineStr">
        <is>
          <t>Estantería / sismo</t>
        </is>
      </c>
      <c r="D100" s="8" t="inlineStr">
        <is>
          <t>PRRS / HSE</t>
        </is>
      </c>
      <c r="E100" s="8" t="inlineStr">
        <is>
          <t>FEM 10.2.08</t>
        </is>
      </c>
      <c r="F100" s="8" t="inlineStr">
        <is>
          <t>Checklist sísmico</t>
        </is>
      </c>
      <c r="G100" s="15" t="inlineStr">
        <is>
          <t>G-02</t>
        </is>
      </c>
      <c r="H100" s="20" t="n"/>
      <c r="I100" s="20" t="n"/>
      <c r="J100" s="19" t="n"/>
    </row>
    <row r="102" ht="22" customHeight="1">
      <c r="A102" s="4" t="inlineStr">
        <is>
          <t xml:space="preserve">  CADA 3 A 5 AÑOS (plurianual)</t>
        </is>
      </c>
    </row>
    <row r="103" ht="30" customHeight="1">
      <c r="A103" s="6" t="inlineStr">
        <is>
          <t>#</t>
        </is>
      </c>
      <c r="B103" s="6" t="inlineStr">
        <is>
          <t>Actividad de inspección o verificación</t>
        </is>
      </c>
      <c r="C103" s="6" t="inlineStr">
        <is>
          <t>Elemento o sistema</t>
        </is>
      </c>
      <c r="D103" s="6" t="inlineStr">
        <is>
          <t>Responsable</t>
        </is>
      </c>
      <c r="E103" s="6" t="inlineStr">
        <is>
          <t>Norma o referencia</t>
        </is>
      </c>
      <c r="F103" s="6" t="inlineStr">
        <is>
          <t>Registro que se genera</t>
        </is>
      </c>
      <c r="G103" s="6" t="inlineStr">
        <is>
          <t>Riesgos (ID)</t>
        </is>
      </c>
      <c r="H103" s="6" t="inlineStr">
        <is>
          <t>Última ejecución</t>
        </is>
      </c>
      <c r="I103" s="6" t="inlineStr">
        <is>
          <t>Próxima programada</t>
        </is>
      </c>
      <c r="J103" s="6" t="inlineStr">
        <is>
          <t>Estado</t>
        </is>
      </c>
    </row>
    <row r="104" ht="28" customHeight="1">
      <c r="A104" s="15" t="n">
        <v>1</v>
      </c>
      <c r="B104" s="8" t="inlineStr">
        <is>
          <t>Inspección interna de la tubería del sistema de rociadores (obstrucciones)</t>
        </is>
      </c>
      <c r="C104" s="8" t="inlineStr">
        <is>
          <t>Rociadores</t>
        </is>
      </c>
      <c r="D104" s="8" t="inlineStr">
        <is>
          <t>Tercero certificado</t>
        </is>
      </c>
      <c r="E104" s="8" t="inlineStr">
        <is>
          <t>NFPA 25 (5 años)</t>
        </is>
      </c>
      <c r="F104" s="8" t="inlineStr">
        <is>
          <t>Informe de inspección interna</t>
        </is>
      </c>
      <c r="G104" s="15" t="inlineStr">
        <is>
          <t>F-01</t>
        </is>
      </c>
      <c r="H104" s="20" t="n"/>
      <c r="I104" s="20" t="n"/>
      <c r="J104" s="19" t="n"/>
    </row>
    <row r="105" ht="28" customHeight="1">
      <c r="A105" s="15" t="n">
        <v>2</v>
      </c>
      <c r="B105" s="8" t="inlineStr">
        <is>
          <t>Prueba de presión o reemplazo de mangueras contra incendio</t>
        </is>
      </c>
      <c r="C105" s="8" t="inlineStr">
        <is>
          <t>Red hidráulica</t>
        </is>
      </c>
      <c r="D105" s="8" t="inlineStr">
        <is>
          <t>Tercero certificado</t>
        </is>
      </c>
      <c r="E105" s="8" t="inlineStr">
        <is>
          <t>NFPA 1962 (5 años)</t>
        </is>
      </c>
      <c r="F105" s="8" t="inlineStr">
        <is>
          <t>Certificado de prueba</t>
        </is>
      </c>
      <c r="G105" s="15" t="inlineStr">
        <is>
          <t>F-05</t>
        </is>
      </c>
      <c r="H105" s="20" t="n"/>
      <c r="I105" s="20" t="n"/>
      <c r="J105" s="19" t="n"/>
    </row>
    <row r="106" ht="28" customHeight="1">
      <c r="A106" s="15" t="n">
        <v>3</v>
      </c>
      <c r="B106" s="8" t="inlineStr">
        <is>
          <t>Prueba hidrostática de extintores según el tipo de agente</t>
        </is>
      </c>
      <c r="C106" s="8" t="inlineStr">
        <is>
          <t>Extintores</t>
        </is>
      </c>
      <c r="D106" s="8" t="inlineStr">
        <is>
          <t>Proveedor certificado</t>
        </is>
      </c>
      <c r="E106" s="8" t="inlineStr">
        <is>
          <t>NFPA 10 (5 a 12 años)</t>
        </is>
      </c>
      <c r="F106" s="8" t="inlineStr">
        <is>
          <t>Certificado hidrostático</t>
        </is>
      </c>
      <c r="G106" s="15" t="inlineStr">
        <is>
          <t>F-04</t>
        </is>
      </c>
      <c r="H106" s="20" t="n"/>
      <c r="I106" s="20" t="n"/>
      <c r="J106" s="19" t="n"/>
    </row>
    <row r="107" ht="28" customHeight="1">
      <c r="A107" s="15" t="n">
        <v>4</v>
      </c>
      <c r="B107" s="8" t="inlineStr">
        <is>
          <t>Evaluación de vulnerabilidad estructural del edificio</t>
        </is>
      </c>
      <c r="C107" s="8" t="inlineStr">
        <is>
          <t>Estructura</t>
        </is>
      </c>
      <c r="D107" s="8" t="inlineStr">
        <is>
          <t>Ingeniero estructural</t>
        </is>
      </c>
      <c r="E107" s="8" t="inlineStr">
        <is>
          <t>NSR-10 / ASCE 41 (1 a 3 años y tras evento)</t>
        </is>
      </c>
      <c r="F107" s="8" t="inlineStr">
        <is>
          <t>Informe estructural</t>
        </is>
      </c>
      <c r="G107" s="15" t="inlineStr">
        <is>
          <t>A-01, G-01</t>
        </is>
      </c>
      <c r="H107" s="20" t="n"/>
      <c r="I107" s="20" t="n"/>
      <c r="J107" s="19" t="n"/>
    </row>
    <row r="108" ht="28" customHeight="1">
      <c r="A108" s="15" t="n">
        <v>5</v>
      </c>
      <c r="B108" s="8" t="inlineStr">
        <is>
          <t>Recertificación de operadores de equipos de manipulación</t>
        </is>
      </c>
      <c r="C108" s="8" t="inlineStr">
        <is>
          <t>MHE</t>
        </is>
      </c>
      <c r="D108" s="8" t="inlineStr">
        <is>
          <t>HSE / Talento humano</t>
        </is>
      </c>
      <c r="E108" s="8" t="inlineStr">
        <is>
          <t>OSHA 1910.178(l)(4)(iii) (3 años)</t>
        </is>
      </c>
      <c r="F108" s="8" t="inlineStr">
        <is>
          <t>Certificados vigentes</t>
        </is>
      </c>
      <c r="G108" s="15" t="inlineStr">
        <is>
          <t>E-04</t>
        </is>
      </c>
      <c r="H108" s="20" t="n"/>
      <c r="I108" s="20" t="n"/>
      <c r="J108" s="19" t="n"/>
    </row>
    <row r="109" ht="28" customHeight="1">
      <c r="A109" s="15" t="n">
        <v>6</v>
      </c>
      <c r="B109" s="8" t="inlineStr">
        <is>
          <t>Prueba de intrusión (pentest) sobre los sistemas operativos y de gestión</t>
        </is>
      </c>
      <c r="C109" s="8" t="inlineStr">
        <is>
          <t>TI</t>
        </is>
      </c>
      <c r="D109" s="8" t="inlineStr">
        <is>
          <t>Tercero especializado</t>
        </is>
      </c>
      <c r="E109" s="8" t="inlineStr">
        <is>
          <t>ISO 27001 (1 a 2 años)</t>
        </is>
      </c>
      <c r="F109" s="8" t="inlineStr">
        <is>
          <t>Informe de pentest</t>
        </is>
      </c>
      <c r="G109" s="15" t="inlineStr">
        <is>
          <t>J-02</t>
        </is>
      </c>
      <c r="H109" s="20" t="n"/>
      <c r="I109" s="20" t="n"/>
      <c r="J109" s="19" t="n"/>
    </row>
    <row r="110" ht="28" customHeight="1">
      <c r="A110" s="15" t="n">
        <v>7</v>
      </c>
      <c r="B110" s="8" t="inlineStr">
        <is>
          <t>Estudio de capacidad del piso ante cambio de sistema de almacenamiento o de equipos</t>
        </is>
      </c>
      <c r="C110" s="8" t="inlineStr">
        <is>
          <t>Piso / estructura</t>
        </is>
      </c>
      <c r="D110" s="8" t="inlineStr">
        <is>
          <t>Ingeniería</t>
        </is>
      </c>
      <c r="E110" s="8" t="inlineStr">
        <is>
          <t>EN 15620 (ante cambio)</t>
        </is>
      </c>
      <c r="F110" s="8" t="inlineStr">
        <is>
          <t>Estudio técnico</t>
        </is>
      </c>
      <c r="G110" s="15" t="inlineStr">
        <is>
          <t>A-03, B-06</t>
        </is>
      </c>
      <c r="H110" s="20" t="n"/>
      <c r="I110" s="20" t="n"/>
      <c r="J110" s="19" t="n"/>
    </row>
    <row r="112" ht="22" customHeight="1">
      <c r="A112" s="4" t="inlineStr">
        <is>
          <t xml:space="preserve">  POR EVENTO / DISPARADOR — no esperan la programación</t>
        </is>
      </c>
    </row>
    <row r="113" ht="30" customHeight="1">
      <c r="A113" s="6" t="inlineStr">
        <is>
          <t>#</t>
        </is>
      </c>
      <c r="B113" s="6" t="inlineStr">
        <is>
          <t>Actividad de inspección o verificación</t>
        </is>
      </c>
      <c r="C113" s="6" t="inlineStr">
        <is>
          <t>Elemento o sistema</t>
        </is>
      </c>
      <c r="D113" s="6" t="inlineStr">
        <is>
          <t>Responsable</t>
        </is>
      </c>
      <c r="E113" s="6" t="inlineStr">
        <is>
          <t>Norma o referencia</t>
        </is>
      </c>
      <c r="F113" s="6" t="inlineStr">
        <is>
          <t>Registro que se genera</t>
        </is>
      </c>
      <c r="G113" s="6" t="inlineStr">
        <is>
          <t>Riesgos (ID)</t>
        </is>
      </c>
      <c r="H113" s="6" t="inlineStr">
        <is>
          <t>Última ejecución</t>
        </is>
      </c>
      <c r="I113" s="6" t="inlineStr">
        <is>
          <t>Próxima programada</t>
        </is>
      </c>
      <c r="J113" s="6" t="inlineStr">
        <is>
          <t>Estado</t>
        </is>
      </c>
    </row>
    <row r="114" ht="28" customHeight="1">
      <c r="A114" s="15" t="n">
        <v>1</v>
      </c>
      <c r="B114" s="8" t="inlineStr">
        <is>
          <t>Tras sismo sentido: inspección estructural y de estantería antes de reingresar personal</t>
        </is>
      </c>
      <c r="C114" s="8" t="inlineStr">
        <is>
          <t>Estructura y estantería</t>
        </is>
      </c>
      <c r="D114" s="8" t="inlineStr">
        <is>
          <t>Ingeniería / PRRS</t>
        </is>
      </c>
      <c r="E114" s="8" t="inlineStr">
        <is>
          <t>NSR-10 / EN 15635</t>
        </is>
      </c>
      <c r="F114" s="8" t="inlineStr">
        <is>
          <t>Acta de inspección post-evento</t>
        </is>
      </c>
      <c r="G114" s="15" t="inlineStr">
        <is>
          <t>G-01, G-03</t>
        </is>
      </c>
      <c r="H114" s="20" t="n"/>
      <c r="I114" s="20" t="n"/>
      <c r="J114" s="19" t="n"/>
    </row>
    <row r="115" ht="28" customHeight="1">
      <c r="A115" s="15" t="n">
        <v>2</v>
      </c>
      <c r="B115" s="8" t="inlineStr">
        <is>
          <t>Tras impacto contra estantería: descarga y evaluación del módulo (verde / ámbar / rojo)</t>
        </is>
      </c>
      <c r="C115" s="8" t="inlineStr">
        <is>
          <t>Estantería</t>
        </is>
      </c>
      <c r="D115" s="8" t="inlineStr">
        <is>
          <t>PRRS</t>
        </is>
      </c>
      <c r="E115" s="8" t="inlineStr">
        <is>
          <t>EN 15635 §9</t>
        </is>
      </c>
      <c r="F115" s="8" t="inlineStr">
        <is>
          <t>Reporte de daño y reparación</t>
        </is>
      </c>
      <c r="G115" s="15" t="inlineStr">
        <is>
          <t>B-02</t>
        </is>
      </c>
      <c r="H115" s="20" t="n"/>
      <c r="I115" s="20" t="n"/>
      <c r="J115" s="19" t="n"/>
    </row>
    <row r="116" ht="28" customHeight="1">
      <c r="A116" s="15" t="n">
        <v>3</v>
      </c>
      <c r="B116" s="8" t="inlineStr">
        <is>
          <t>Tras incendio o conato: investigación, revisión de carga de fuego y del sistema de protección</t>
        </is>
      </c>
      <c r="C116" s="8" t="inlineStr">
        <is>
          <t>Incendio</t>
        </is>
      </c>
      <c r="D116" s="8" t="inlineStr">
        <is>
          <t>HSE</t>
        </is>
      </c>
      <c r="E116" s="8" t="inlineStr">
        <is>
          <t>NFPA 1600</t>
        </is>
      </c>
      <c r="F116" s="8" t="inlineStr">
        <is>
          <t>Informe de investigación</t>
        </is>
      </c>
      <c r="G116" s="15" t="inlineStr">
        <is>
          <t>F-01, C-02</t>
        </is>
      </c>
      <c r="H116" s="20" t="n"/>
      <c r="I116" s="20" t="n"/>
      <c r="J116" s="19" t="n"/>
    </row>
    <row r="117" ht="28" customHeight="1">
      <c r="A117" s="15" t="n">
        <v>4</v>
      </c>
      <c r="B117" s="8" t="inlineStr">
        <is>
          <t>Tras accidente grave o casi-accidente de alto potencial: causa raíz y recalificación de riesgos afines</t>
        </is>
      </c>
      <c r="C117" s="8" t="inlineStr">
        <is>
          <t>SST</t>
        </is>
      </c>
      <c r="D117" s="8" t="inlineStr">
        <is>
          <t>HSE</t>
        </is>
      </c>
      <c r="E117" s="8" t="inlineStr">
        <is>
          <t>ISO 45001 / Resolución 1401 de 2007</t>
        </is>
      </c>
      <c r="F117" s="8" t="inlineStr">
        <is>
          <t>Informe de investigación</t>
        </is>
      </c>
      <c r="G117" s="15" t="inlineStr">
        <is>
          <t>O-07</t>
        </is>
      </c>
      <c r="H117" s="20" t="n"/>
      <c r="I117" s="20" t="n"/>
      <c r="J117" s="19" t="n"/>
    </row>
    <row r="118" ht="28" customHeight="1">
      <c r="A118" s="15" t="n">
        <v>5</v>
      </c>
      <c r="B118" s="8" t="inlineStr">
        <is>
          <t>Ante cambio de layout, de altura o de sistema de almacenamiento: recálculo y actualización de planos</t>
        </is>
      </c>
      <c r="C118" s="8" t="inlineStr">
        <is>
          <t>Almacenamiento</t>
        </is>
      </c>
      <c r="D118" s="8" t="inlineStr">
        <is>
          <t>Ingeniería / PRRS</t>
        </is>
      </c>
      <c r="E118" s="8" t="inlineStr">
        <is>
          <t>EN 15629 / NFPA 13</t>
        </is>
      </c>
      <c r="F118" s="8" t="inlineStr">
        <is>
          <t>Aval técnico y planos as-built</t>
        </is>
      </c>
      <c r="G118" s="15" t="inlineStr">
        <is>
          <t>B-06, A-06</t>
        </is>
      </c>
      <c r="H118" s="20" t="n"/>
      <c r="I118" s="20" t="n"/>
      <c r="J118" s="19" t="n"/>
    </row>
    <row r="119" ht="28" customHeight="1">
      <c r="A119" s="15" t="n">
        <v>6</v>
      </c>
      <c r="B119" s="8" t="inlineStr">
        <is>
          <t>Ante cambio de portafolio: reclasificación de mercancía y revisión de segregación y rociadores</t>
        </is>
      </c>
      <c r="C119" s="8" t="inlineStr">
        <is>
          <t>Producto / incendio</t>
        </is>
      </c>
      <c r="D119" s="8" t="inlineStr">
        <is>
          <t>HSE / Calidad</t>
        </is>
      </c>
      <c r="E119" s="8" t="inlineStr">
        <is>
          <t>NFPA 13 / NFPA 400</t>
        </is>
      </c>
      <c r="F119" s="8" t="inlineStr">
        <is>
          <t>Estudio actualizado</t>
        </is>
      </c>
      <c r="G119" s="15" t="inlineStr">
        <is>
          <t>C-02, L-03</t>
        </is>
      </c>
      <c r="H119" s="20" t="n"/>
      <c r="I119" s="20" t="n"/>
      <c r="J119" s="19" t="n"/>
    </row>
    <row r="120" ht="28" customHeight="1">
      <c r="A120" s="15" t="n">
        <v>7</v>
      </c>
      <c r="B120" s="8" t="inlineStr">
        <is>
          <t>Antes de temporada alta: revisión de capacidad, personal, inducción y bloqueo de pasillos</t>
        </is>
      </c>
      <c r="C120" s="8" t="inlineStr">
        <is>
          <t>Operación</t>
        </is>
      </c>
      <c r="D120" s="8" t="inlineStr">
        <is>
          <t>Jefe de CEDI</t>
        </is>
      </c>
      <c r="E120" s="8" t="inlineStr">
        <is>
          <t>Plan de temporada</t>
        </is>
      </c>
      <c r="F120" s="8" t="inlineStr">
        <is>
          <t>Plan de temporada aprobado</t>
        </is>
      </c>
      <c r="G120" s="15" t="inlineStr">
        <is>
          <t>C-06, K-06</t>
        </is>
      </c>
      <c r="H120" s="20" t="n"/>
      <c r="I120" s="20" t="n"/>
      <c r="J120" s="19" t="n"/>
    </row>
    <row r="121" ht="28" customHeight="1">
      <c r="A121" s="15" t="n">
        <v>8</v>
      </c>
      <c r="B121" s="8" t="inlineStr">
        <is>
          <t>Ante inundación o vendaval: revisión de cubierta, drenajes, instalación eléctrica y producto en piso</t>
        </is>
      </c>
      <c r="C121" s="8" t="inlineStr">
        <is>
          <t>Riesgos naturales</t>
        </is>
      </c>
      <c r="D121" s="8" t="inlineStr">
        <is>
          <t>Mantenimiento</t>
        </is>
      </c>
      <c r="E121" s="8" t="inlineStr">
        <is>
          <t>Protocolo de temporada</t>
        </is>
      </c>
      <c r="F121" s="8" t="inlineStr">
        <is>
          <t>Acta de inspección</t>
        </is>
      </c>
      <c r="G121" s="15" t="inlineStr">
        <is>
          <t>G-04, G-05</t>
        </is>
      </c>
      <c r="H121" s="20" t="n"/>
      <c r="I121" s="20" t="n"/>
      <c r="J121" s="19" t="n"/>
    </row>
  </sheetData>
  <mergeCells count="8">
    <mergeCell ref="A102:J102"/>
    <mergeCell ref="A46:J46"/>
    <mergeCell ref="A17:J17"/>
    <mergeCell ref="A78:J78"/>
    <mergeCell ref="A4:J4"/>
    <mergeCell ref="A26:J26"/>
    <mergeCell ref="A112:J112"/>
    <mergeCell ref="A63:J63"/>
  </mergeCells>
  <dataValidations count="1">
    <dataValidation sqref="J6:J123" showDropDown="0" showInputMessage="0" showErrorMessage="0" allowBlank="1" type="list">
      <formula1>"Al día,Vencida,En ejecución,No aplica"</formula1>
    </dataValidation>
  </dataValidation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12" customWidth="1" min="4" max="4"/>
    <col width="50" customWidth="1" min="5" max="5"/>
    <col width="16" customWidth="1" min="6" max="6"/>
    <col width="22" customWidth="1" min="7" max="7"/>
    <col width="14" customWidth="1" min="8" max="8"/>
    <col width="14" customWidth="1" min="9" max="9"/>
    <col width="12" customWidth="1" min="10" max="10"/>
    <col width="34" customWidth="1" min="11" max="11"/>
    <col width="14" customWidth="1" min="12" max="12"/>
  </cols>
  <sheetData>
    <row r="1">
      <c r="A1" s="1" t="inlineStr">
        <is>
          <t>PLAN DE ACCIÓN — CIERRE DE HALLAZGOS</t>
        </is>
      </c>
    </row>
    <row r="2">
      <c r="A2" s="3" t="inlineStr">
        <is>
          <t>Todo hallazgo 'No' o 'Parcial' de la matriz se traslada aquí. El plazo máximo depende del nivel de riesgo: Extremo ≤ 15 días · Alto ≤ 30 días · Medio ≤ 90 días.</t>
        </is>
      </c>
    </row>
    <row r="4" ht="40" customHeight="1">
      <c r="A4" s="6" t="inlineStr">
        <is>
          <t>N°</t>
        </is>
      </c>
      <c r="B4" s="6" t="inlineStr">
        <is>
          <t>ID riesgo</t>
        </is>
      </c>
      <c r="C4" s="6" t="inlineStr">
        <is>
          <t>Hallazgo detectado</t>
        </is>
      </c>
      <c r="D4" s="6" t="inlineStr">
        <is>
          <t>Nivel</t>
        </is>
      </c>
      <c r="E4" s="6" t="inlineStr">
        <is>
          <t>Acción correctiva, preventiva o de mejora</t>
        </is>
      </c>
      <c r="F4" s="6" t="inlineStr">
        <is>
          <t>Tipo de acción</t>
        </is>
      </c>
      <c r="G4" s="6" t="inlineStr">
        <is>
          <t>Responsable</t>
        </is>
      </c>
      <c r="H4" s="6" t="inlineStr">
        <is>
          <t>Fecha compromiso</t>
        </is>
      </c>
      <c r="I4" s="6" t="inlineStr">
        <is>
          <t>Fecha de cierre</t>
        </is>
      </c>
      <c r="J4" s="6" t="inlineStr">
        <is>
          <t>% avance</t>
        </is>
      </c>
      <c r="K4" s="6" t="inlineStr">
        <is>
          <t>Verificación de eficacia (cómo se comprueba)</t>
        </is>
      </c>
      <c r="L4" s="6" t="inlineStr">
        <is>
          <t>Estado</t>
        </is>
      </c>
    </row>
    <row r="5" ht="30" customHeight="1">
      <c r="A5" s="15" t="n">
        <v>1</v>
      </c>
      <c r="B5" s="19" t="n"/>
      <c r="C5" s="16" t="n"/>
      <c r="D5" s="19" t="n"/>
      <c r="E5" s="16" t="n"/>
      <c r="F5" s="19" t="n"/>
      <c r="G5" s="16" t="n"/>
      <c r="H5" s="20" t="n"/>
      <c r="I5" s="20" t="n"/>
      <c r="J5" s="45" t="n"/>
      <c r="K5" s="16" t="n"/>
      <c r="L5" s="19" t="n"/>
    </row>
    <row r="6" ht="30" customHeight="1">
      <c r="A6" s="15" t="n">
        <v>2</v>
      </c>
      <c r="B6" s="19" t="n"/>
      <c r="C6" s="16" t="n"/>
      <c r="D6" s="19" t="n"/>
      <c r="E6" s="16" t="n"/>
      <c r="F6" s="19" t="n"/>
      <c r="G6" s="16" t="n"/>
      <c r="H6" s="20" t="n"/>
      <c r="I6" s="20" t="n"/>
      <c r="J6" s="45" t="n"/>
      <c r="K6" s="16" t="n"/>
      <c r="L6" s="19" t="n"/>
    </row>
    <row r="7" ht="30" customHeight="1">
      <c r="A7" s="15" t="n">
        <v>3</v>
      </c>
      <c r="B7" s="19" t="n"/>
      <c r="C7" s="16" t="n"/>
      <c r="D7" s="19" t="n"/>
      <c r="E7" s="16" t="n"/>
      <c r="F7" s="19" t="n"/>
      <c r="G7" s="16" t="n"/>
      <c r="H7" s="20" t="n"/>
      <c r="I7" s="20" t="n"/>
      <c r="J7" s="45" t="n"/>
      <c r="K7" s="16" t="n"/>
      <c r="L7" s="19" t="n"/>
    </row>
    <row r="8" ht="30" customHeight="1">
      <c r="A8" s="15" t="n">
        <v>4</v>
      </c>
      <c r="B8" s="19" t="n"/>
      <c r="C8" s="16" t="n"/>
      <c r="D8" s="19" t="n"/>
      <c r="E8" s="16" t="n"/>
      <c r="F8" s="19" t="n"/>
      <c r="G8" s="16" t="n"/>
      <c r="H8" s="20" t="n"/>
      <c r="I8" s="20" t="n"/>
      <c r="J8" s="45" t="n"/>
      <c r="K8" s="16" t="n"/>
      <c r="L8" s="19" t="n"/>
    </row>
    <row r="9" ht="30" customHeight="1">
      <c r="A9" s="15" t="n">
        <v>5</v>
      </c>
      <c r="B9" s="19" t="n"/>
      <c r="C9" s="16" t="n"/>
      <c r="D9" s="19" t="n"/>
      <c r="E9" s="16" t="n"/>
      <c r="F9" s="19" t="n"/>
      <c r="G9" s="16" t="n"/>
      <c r="H9" s="20" t="n"/>
      <c r="I9" s="20" t="n"/>
      <c r="J9" s="45" t="n"/>
      <c r="K9" s="16" t="n"/>
      <c r="L9" s="19" t="n"/>
    </row>
    <row r="10" ht="30" customHeight="1">
      <c r="A10" s="15" t="n">
        <v>6</v>
      </c>
      <c r="B10" s="19" t="n"/>
      <c r="C10" s="16" t="n"/>
      <c r="D10" s="19" t="n"/>
      <c r="E10" s="16" t="n"/>
      <c r="F10" s="19" t="n"/>
      <c r="G10" s="16" t="n"/>
      <c r="H10" s="20" t="n"/>
      <c r="I10" s="20" t="n"/>
      <c r="J10" s="45" t="n"/>
      <c r="K10" s="16" t="n"/>
      <c r="L10" s="19" t="n"/>
    </row>
    <row r="11" ht="30" customHeight="1">
      <c r="A11" s="15" t="n">
        <v>7</v>
      </c>
      <c r="B11" s="19" t="n"/>
      <c r="C11" s="16" t="n"/>
      <c r="D11" s="19" t="n"/>
      <c r="E11" s="16" t="n"/>
      <c r="F11" s="19" t="n"/>
      <c r="G11" s="16" t="n"/>
      <c r="H11" s="20" t="n"/>
      <c r="I11" s="20" t="n"/>
      <c r="J11" s="45" t="n"/>
      <c r="K11" s="16" t="n"/>
      <c r="L11" s="19" t="n"/>
    </row>
    <row r="12" ht="30" customHeight="1">
      <c r="A12" s="15" t="n">
        <v>8</v>
      </c>
      <c r="B12" s="19" t="n"/>
      <c r="C12" s="16" t="n"/>
      <c r="D12" s="19" t="n"/>
      <c r="E12" s="16" t="n"/>
      <c r="F12" s="19" t="n"/>
      <c r="G12" s="16" t="n"/>
      <c r="H12" s="20" t="n"/>
      <c r="I12" s="20" t="n"/>
      <c r="J12" s="45" t="n"/>
      <c r="K12" s="16" t="n"/>
      <c r="L12" s="19" t="n"/>
    </row>
    <row r="13" ht="30" customHeight="1">
      <c r="A13" s="15" t="n">
        <v>9</v>
      </c>
      <c r="B13" s="19" t="n"/>
      <c r="C13" s="16" t="n"/>
      <c r="D13" s="19" t="n"/>
      <c r="E13" s="16" t="n"/>
      <c r="F13" s="19" t="n"/>
      <c r="G13" s="16" t="n"/>
      <c r="H13" s="20" t="n"/>
      <c r="I13" s="20" t="n"/>
      <c r="J13" s="45" t="n"/>
      <c r="K13" s="16" t="n"/>
      <c r="L13" s="19" t="n"/>
    </row>
    <row r="14" ht="30" customHeight="1">
      <c r="A14" s="15" t="n">
        <v>10</v>
      </c>
      <c r="B14" s="19" t="n"/>
      <c r="C14" s="16" t="n"/>
      <c r="D14" s="19" t="n"/>
      <c r="E14" s="16" t="n"/>
      <c r="F14" s="19" t="n"/>
      <c r="G14" s="16" t="n"/>
      <c r="H14" s="20" t="n"/>
      <c r="I14" s="20" t="n"/>
      <c r="J14" s="45" t="n"/>
      <c r="K14" s="16" t="n"/>
      <c r="L14" s="19" t="n"/>
    </row>
    <row r="15" ht="30" customHeight="1">
      <c r="A15" s="15" t="n">
        <v>11</v>
      </c>
      <c r="B15" s="19" t="n"/>
      <c r="C15" s="16" t="n"/>
      <c r="D15" s="19" t="n"/>
      <c r="E15" s="16" t="n"/>
      <c r="F15" s="19" t="n"/>
      <c r="G15" s="16" t="n"/>
      <c r="H15" s="20" t="n"/>
      <c r="I15" s="20" t="n"/>
      <c r="J15" s="45" t="n"/>
      <c r="K15" s="16" t="n"/>
      <c r="L15" s="19" t="n"/>
    </row>
    <row r="16" ht="30" customHeight="1">
      <c r="A16" s="15" t="n">
        <v>12</v>
      </c>
      <c r="B16" s="19" t="n"/>
      <c r="C16" s="16" t="n"/>
      <c r="D16" s="19" t="n"/>
      <c r="E16" s="16" t="n"/>
      <c r="F16" s="19" t="n"/>
      <c r="G16" s="16" t="n"/>
      <c r="H16" s="20" t="n"/>
      <c r="I16" s="20" t="n"/>
      <c r="J16" s="45" t="n"/>
      <c r="K16" s="16" t="n"/>
      <c r="L16" s="19" t="n"/>
    </row>
    <row r="17" ht="30" customHeight="1">
      <c r="A17" s="15" t="n">
        <v>13</v>
      </c>
      <c r="B17" s="19" t="n"/>
      <c r="C17" s="16" t="n"/>
      <c r="D17" s="19" t="n"/>
      <c r="E17" s="16" t="n"/>
      <c r="F17" s="19" t="n"/>
      <c r="G17" s="16" t="n"/>
      <c r="H17" s="20" t="n"/>
      <c r="I17" s="20" t="n"/>
      <c r="J17" s="45" t="n"/>
      <c r="K17" s="16" t="n"/>
      <c r="L17" s="19" t="n"/>
    </row>
    <row r="18" ht="30" customHeight="1">
      <c r="A18" s="15" t="n">
        <v>14</v>
      </c>
      <c r="B18" s="19" t="n"/>
      <c r="C18" s="16" t="n"/>
      <c r="D18" s="19" t="n"/>
      <c r="E18" s="16" t="n"/>
      <c r="F18" s="19" t="n"/>
      <c r="G18" s="16" t="n"/>
      <c r="H18" s="20" t="n"/>
      <c r="I18" s="20" t="n"/>
      <c r="J18" s="45" t="n"/>
      <c r="K18" s="16" t="n"/>
      <c r="L18" s="19" t="n"/>
    </row>
    <row r="19" ht="30" customHeight="1">
      <c r="A19" s="15" t="n">
        <v>15</v>
      </c>
      <c r="B19" s="19" t="n"/>
      <c r="C19" s="16" t="n"/>
      <c r="D19" s="19" t="n"/>
      <c r="E19" s="16" t="n"/>
      <c r="F19" s="19" t="n"/>
      <c r="G19" s="16" t="n"/>
      <c r="H19" s="20" t="n"/>
      <c r="I19" s="20" t="n"/>
      <c r="J19" s="45" t="n"/>
      <c r="K19" s="16" t="n"/>
      <c r="L19" s="19" t="n"/>
    </row>
    <row r="20" ht="30" customHeight="1">
      <c r="A20" s="15" t="n">
        <v>16</v>
      </c>
      <c r="B20" s="19" t="n"/>
      <c r="C20" s="16" t="n"/>
      <c r="D20" s="19" t="n"/>
      <c r="E20" s="16" t="n"/>
      <c r="F20" s="19" t="n"/>
      <c r="G20" s="16" t="n"/>
      <c r="H20" s="20" t="n"/>
      <c r="I20" s="20" t="n"/>
      <c r="J20" s="45" t="n"/>
      <c r="K20" s="16" t="n"/>
      <c r="L20" s="19" t="n"/>
    </row>
    <row r="21" ht="30" customHeight="1">
      <c r="A21" s="15" t="n">
        <v>17</v>
      </c>
      <c r="B21" s="19" t="n"/>
      <c r="C21" s="16" t="n"/>
      <c r="D21" s="19" t="n"/>
      <c r="E21" s="16" t="n"/>
      <c r="F21" s="19" t="n"/>
      <c r="G21" s="16" t="n"/>
      <c r="H21" s="20" t="n"/>
      <c r="I21" s="20" t="n"/>
      <c r="J21" s="45" t="n"/>
      <c r="K21" s="16" t="n"/>
      <c r="L21" s="19" t="n"/>
    </row>
    <row r="22" ht="30" customHeight="1">
      <c r="A22" s="15" t="n">
        <v>18</v>
      </c>
      <c r="B22" s="19" t="n"/>
      <c r="C22" s="16" t="n"/>
      <c r="D22" s="19" t="n"/>
      <c r="E22" s="16" t="n"/>
      <c r="F22" s="19" t="n"/>
      <c r="G22" s="16" t="n"/>
      <c r="H22" s="20" t="n"/>
      <c r="I22" s="20" t="n"/>
      <c r="J22" s="45" t="n"/>
      <c r="K22" s="16" t="n"/>
      <c r="L22" s="19" t="n"/>
    </row>
    <row r="23" ht="30" customHeight="1">
      <c r="A23" s="15" t="n">
        <v>19</v>
      </c>
      <c r="B23" s="19" t="n"/>
      <c r="C23" s="16" t="n"/>
      <c r="D23" s="19" t="n"/>
      <c r="E23" s="16" t="n"/>
      <c r="F23" s="19" t="n"/>
      <c r="G23" s="16" t="n"/>
      <c r="H23" s="20" t="n"/>
      <c r="I23" s="20" t="n"/>
      <c r="J23" s="45" t="n"/>
      <c r="K23" s="16" t="n"/>
      <c r="L23" s="19" t="n"/>
    </row>
    <row r="24" ht="30" customHeight="1">
      <c r="A24" s="15" t="n">
        <v>20</v>
      </c>
      <c r="B24" s="19" t="n"/>
      <c r="C24" s="16" t="n"/>
      <c r="D24" s="19" t="n"/>
      <c r="E24" s="16" t="n"/>
      <c r="F24" s="19" t="n"/>
      <c r="G24" s="16" t="n"/>
      <c r="H24" s="20" t="n"/>
      <c r="I24" s="20" t="n"/>
      <c r="J24" s="45" t="n"/>
      <c r="K24" s="16" t="n"/>
      <c r="L24" s="19" t="n"/>
    </row>
    <row r="25" ht="30" customHeight="1">
      <c r="A25" s="15" t="n">
        <v>21</v>
      </c>
      <c r="B25" s="19" t="n"/>
      <c r="C25" s="16" t="n"/>
      <c r="D25" s="19" t="n"/>
      <c r="E25" s="16" t="n"/>
      <c r="F25" s="19" t="n"/>
      <c r="G25" s="16" t="n"/>
      <c r="H25" s="20" t="n"/>
      <c r="I25" s="20" t="n"/>
      <c r="J25" s="45" t="n"/>
      <c r="K25" s="16" t="n"/>
      <c r="L25" s="19" t="n"/>
    </row>
    <row r="26" ht="30" customHeight="1">
      <c r="A26" s="15" t="n">
        <v>22</v>
      </c>
      <c r="B26" s="19" t="n"/>
      <c r="C26" s="16" t="n"/>
      <c r="D26" s="19" t="n"/>
      <c r="E26" s="16" t="n"/>
      <c r="F26" s="19" t="n"/>
      <c r="G26" s="16" t="n"/>
      <c r="H26" s="20" t="n"/>
      <c r="I26" s="20" t="n"/>
      <c r="J26" s="45" t="n"/>
      <c r="K26" s="16" t="n"/>
      <c r="L26" s="19" t="n"/>
    </row>
    <row r="27" ht="30" customHeight="1">
      <c r="A27" s="15" t="n">
        <v>23</v>
      </c>
      <c r="B27" s="19" t="n"/>
      <c r="C27" s="16" t="n"/>
      <c r="D27" s="19" t="n"/>
      <c r="E27" s="16" t="n"/>
      <c r="F27" s="19" t="n"/>
      <c r="G27" s="16" t="n"/>
      <c r="H27" s="20" t="n"/>
      <c r="I27" s="20" t="n"/>
      <c r="J27" s="45" t="n"/>
      <c r="K27" s="16" t="n"/>
      <c r="L27" s="19" t="n"/>
    </row>
    <row r="28" ht="30" customHeight="1">
      <c r="A28" s="15" t="n">
        <v>24</v>
      </c>
      <c r="B28" s="19" t="n"/>
      <c r="C28" s="16" t="n"/>
      <c r="D28" s="19" t="n"/>
      <c r="E28" s="16" t="n"/>
      <c r="F28" s="19" t="n"/>
      <c r="G28" s="16" t="n"/>
      <c r="H28" s="20" t="n"/>
      <c r="I28" s="20" t="n"/>
      <c r="J28" s="45" t="n"/>
      <c r="K28" s="16" t="n"/>
      <c r="L28" s="19" t="n"/>
    </row>
    <row r="29" ht="30" customHeight="1">
      <c r="A29" s="15" t="n">
        <v>25</v>
      </c>
      <c r="B29" s="19" t="n"/>
      <c r="C29" s="16" t="n"/>
      <c r="D29" s="19" t="n"/>
      <c r="E29" s="16" t="n"/>
      <c r="F29" s="19" t="n"/>
      <c r="G29" s="16" t="n"/>
      <c r="H29" s="20" t="n"/>
      <c r="I29" s="20" t="n"/>
      <c r="J29" s="45" t="n"/>
      <c r="K29" s="16" t="n"/>
      <c r="L29" s="19" t="n"/>
    </row>
    <row r="30" ht="30" customHeight="1">
      <c r="A30" s="15" t="n">
        <v>26</v>
      </c>
      <c r="B30" s="19" t="n"/>
      <c r="C30" s="16" t="n"/>
      <c r="D30" s="19" t="n"/>
      <c r="E30" s="16" t="n"/>
      <c r="F30" s="19" t="n"/>
      <c r="G30" s="16" t="n"/>
      <c r="H30" s="20" t="n"/>
      <c r="I30" s="20" t="n"/>
      <c r="J30" s="45" t="n"/>
      <c r="K30" s="16" t="n"/>
      <c r="L30" s="19" t="n"/>
    </row>
    <row r="31" ht="30" customHeight="1">
      <c r="A31" s="15" t="n">
        <v>27</v>
      </c>
      <c r="B31" s="19" t="n"/>
      <c r="C31" s="16" t="n"/>
      <c r="D31" s="19" t="n"/>
      <c r="E31" s="16" t="n"/>
      <c r="F31" s="19" t="n"/>
      <c r="G31" s="16" t="n"/>
      <c r="H31" s="20" t="n"/>
      <c r="I31" s="20" t="n"/>
      <c r="J31" s="45" t="n"/>
      <c r="K31" s="16" t="n"/>
      <c r="L31" s="19" t="n"/>
    </row>
    <row r="32" ht="30" customHeight="1">
      <c r="A32" s="15" t="n">
        <v>28</v>
      </c>
      <c r="B32" s="19" t="n"/>
      <c r="C32" s="16" t="n"/>
      <c r="D32" s="19" t="n"/>
      <c r="E32" s="16" t="n"/>
      <c r="F32" s="19" t="n"/>
      <c r="G32" s="16" t="n"/>
      <c r="H32" s="20" t="n"/>
      <c r="I32" s="20" t="n"/>
      <c r="J32" s="45" t="n"/>
      <c r="K32" s="16" t="n"/>
      <c r="L32" s="19" t="n"/>
    </row>
    <row r="33" ht="30" customHeight="1">
      <c r="A33" s="15" t="n">
        <v>29</v>
      </c>
      <c r="B33" s="19" t="n"/>
      <c r="C33" s="16" t="n"/>
      <c r="D33" s="19" t="n"/>
      <c r="E33" s="16" t="n"/>
      <c r="F33" s="19" t="n"/>
      <c r="G33" s="16" t="n"/>
      <c r="H33" s="20" t="n"/>
      <c r="I33" s="20" t="n"/>
      <c r="J33" s="45" t="n"/>
      <c r="K33" s="16" t="n"/>
      <c r="L33" s="19" t="n"/>
    </row>
    <row r="34" ht="30" customHeight="1">
      <c r="A34" s="15" t="n">
        <v>30</v>
      </c>
      <c r="B34" s="19" t="n"/>
      <c r="C34" s="16" t="n"/>
      <c r="D34" s="19" t="n"/>
      <c r="E34" s="16" t="n"/>
      <c r="F34" s="19" t="n"/>
      <c r="G34" s="16" t="n"/>
      <c r="H34" s="20" t="n"/>
      <c r="I34" s="20" t="n"/>
      <c r="J34" s="45" t="n"/>
      <c r="K34" s="16" t="n"/>
      <c r="L34" s="19" t="n"/>
    </row>
    <row r="35" ht="30" customHeight="1">
      <c r="A35" s="15" t="n">
        <v>31</v>
      </c>
      <c r="B35" s="19" t="n"/>
      <c r="C35" s="16" t="n"/>
      <c r="D35" s="19" t="n"/>
      <c r="E35" s="16" t="n"/>
      <c r="F35" s="19" t="n"/>
      <c r="G35" s="16" t="n"/>
      <c r="H35" s="20" t="n"/>
      <c r="I35" s="20" t="n"/>
      <c r="J35" s="45" t="n"/>
      <c r="K35" s="16" t="n"/>
      <c r="L35" s="19" t="n"/>
    </row>
    <row r="36" ht="30" customHeight="1">
      <c r="A36" s="15" t="n">
        <v>32</v>
      </c>
      <c r="B36" s="19" t="n"/>
      <c r="C36" s="16" t="n"/>
      <c r="D36" s="19" t="n"/>
      <c r="E36" s="16" t="n"/>
      <c r="F36" s="19" t="n"/>
      <c r="G36" s="16" t="n"/>
      <c r="H36" s="20" t="n"/>
      <c r="I36" s="20" t="n"/>
      <c r="J36" s="45" t="n"/>
      <c r="K36" s="16" t="n"/>
      <c r="L36" s="19" t="n"/>
    </row>
    <row r="37" ht="30" customHeight="1">
      <c r="A37" s="15" t="n">
        <v>33</v>
      </c>
      <c r="B37" s="19" t="n"/>
      <c r="C37" s="16" t="n"/>
      <c r="D37" s="19" t="n"/>
      <c r="E37" s="16" t="n"/>
      <c r="F37" s="19" t="n"/>
      <c r="G37" s="16" t="n"/>
      <c r="H37" s="20" t="n"/>
      <c r="I37" s="20" t="n"/>
      <c r="J37" s="45" t="n"/>
      <c r="K37" s="16" t="n"/>
      <c r="L37" s="19" t="n"/>
    </row>
    <row r="38" ht="30" customHeight="1">
      <c r="A38" s="15" t="n">
        <v>34</v>
      </c>
      <c r="B38" s="19" t="n"/>
      <c r="C38" s="16" t="n"/>
      <c r="D38" s="19" t="n"/>
      <c r="E38" s="16" t="n"/>
      <c r="F38" s="19" t="n"/>
      <c r="G38" s="16" t="n"/>
      <c r="H38" s="20" t="n"/>
      <c r="I38" s="20" t="n"/>
      <c r="J38" s="45" t="n"/>
      <c r="K38" s="16" t="n"/>
      <c r="L38" s="19" t="n"/>
    </row>
    <row r="39" ht="30" customHeight="1">
      <c r="A39" s="15" t="n">
        <v>35</v>
      </c>
      <c r="B39" s="19" t="n"/>
      <c r="C39" s="16" t="n"/>
      <c r="D39" s="19" t="n"/>
      <c r="E39" s="16" t="n"/>
      <c r="F39" s="19" t="n"/>
      <c r="G39" s="16" t="n"/>
      <c r="H39" s="20" t="n"/>
      <c r="I39" s="20" t="n"/>
      <c r="J39" s="45" t="n"/>
      <c r="K39" s="16" t="n"/>
      <c r="L39" s="19" t="n"/>
    </row>
    <row r="40" ht="30" customHeight="1">
      <c r="A40" s="15" t="n">
        <v>36</v>
      </c>
      <c r="B40" s="19" t="n"/>
      <c r="C40" s="16" t="n"/>
      <c r="D40" s="19" t="n"/>
      <c r="E40" s="16" t="n"/>
      <c r="F40" s="19" t="n"/>
      <c r="G40" s="16" t="n"/>
      <c r="H40" s="20" t="n"/>
      <c r="I40" s="20" t="n"/>
      <c r="J40" s="45" t="n"/>
      <c r="K40" s="16" t="n"/>
      <c r="L40" s="19" t="n"/>
    </row>
    <row r="41" ht="30" customHeight="1">
      <c r="A41" s="15" t="n">
        <v>37</v>
      </c>
      <c r="B41" s="19" t="n"/>
      <c r="C41" s="16" t="n"/>
      <c r="D41" s="19" t="n"/>
      <c r="E41" s="16" t="n"/>
      <c r="F41" s="19" t="n"/>
      <c r="G41" s="16" t="n"/>
      <c r="H41" s="20" t="n"/>
      <c r="I41" s="20" t="n"/>
      <c r="J41" s="45" t="n"/>
      <c r="K41" s="16" t="n"/>
      <c r="L41" s="19" t="n"/>
    </row>
    <row r="42" ht="30" customHeight="1">
      <c r="A42" s="15" t="n">
        <v>38</v>
      </c>
      <c r="B42" s="19" t="n"/>
      <c r="C42" s="16" t="n"/>
      <c r="D42" s="19" t="n"/>
      <c r="E42" s="16" t="n"/>
      <c r="F42" s="19" t="n"/>
      <c r="G42" s="16" t="n"/>
      <c r="H42" s="20" t="n"/>
      <c r="I42" s="20" t="n"/>
      <c r="J42" s="45" t="n"/>
      <c r="K42" s="16" t="n"/>
      <c r="L42" s="19" t="n"/>
    </row>
    <row r="43" ht="30" customHeight="1">
      <c r="A43" s="15" t="n">
        <v>39</v>
      </c>
      <c r="B43" s="19" t="n"/>
      <c r="C43" s="16" t="n"/>
      <c r="D43" s="19" t="n"/>
      <c r="E43" s="16" t="n"/>
      <c r="F43" s="19" t="n"/>
      <c r="G43" s="16" t="n"/>
      <c r="H43" s="20" t="n"/>
      <c r="I43" s="20" t="n"/>
      <c r="J43" s="45" t="n"/>
      <c r="K43" s="16" t="n"/>
      <c r="L43" s="19" t="n"/>
    </row>
    <row r="44" ht="30" customHeight="1">
      <c r="A44" s="15" t="n">
        <v>40</v>
      </c>
      <c r="B44" s="19" t="n"/>
      <c r="C44" s="16" t="n"/>
      <c r="D44" s="19" t="n"/>
      <c r="E44" s="16" t="n"/>
      <c r="F44" s="19" t="n"/>
      <c r="G44" s="16" t="n"/>
      <c r="H44" s="20" t="n"/>
      <c r="I44" s="20" t="n"/>
      <c r="J44" s="45" t="n"/>
      <c r="K44" s="16" t="n"/>
      <c r="L44" s="19" t="n"/>
    </row>
  </sheetData>
  <conditionalFormatting sqref="L5:L44">
    <cfRule type="cellIs" priority="1" operator="equal" dxfId="0">
      <formula>"Vencida"</formula>
    </cfRule>
    <cfRule type="cellIs" priority="2" operator="equal" dxfId="3">
      <formula>"Cerrada"</formula>
    </cfRule>
    <cfRule type="cellIs" priority="3" operator="equal" dxfId="9">
      <formula>"Abierta"</formula>
    </cfRule>
  </conditionalFormatting>
  <conditionalFormatting sqref="H5:H44">
    <cfRule type="expression" priority="4" dxfId="5">
      <formula>AND($H5&lt;&gt;"",$I5="",$H5&lt;TODAY())</formula>
    </cfRule>
  </conditionalFormatting>
  <dataValidations count="3">
    <dataValidation sqref="F5:F44" showDropDown="0" showInputMessage="0" showErrorMessage="0" allowBlank="1" type="list">
      <formula1>"Correctiva,Preventiva,De mejora,Control de ingeniería,Control administrativo,EPP"</formula1>
    </dataValidation>
    <dataValidation sqref="D5:D44" showDropDown="0" showInputMessage="0" showErrorMessage="0" allowBlank="1" type="list">
      <formula1>"Extremo,Alto,Medio,Bajo,Muy bajo"</formula1>
    </dataValidation>
    <dataValidation sqref="L5:L44" showDropDown="0" showInputMessage="0" showErrorMessage="0" allowBlank="1" type="list">
      <formula1>"Abierta,En ejecución,Cerrada,Vencida,Cancelada"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597"/>
    <outlinePr summaryBelow="1" summaryRight="1"/>
    <pageSetUpPr/>
  </sheetPr>
  <dimension ref="A1:I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1">
      <c r="B1" s="1" t="inlineStr">
        <is>
          <t>TABLERO DE RIESGO DEL CENTRO DE DISTRIBUCIÓN</t>
        </is>
      </c>
    </row>
    <row r="2">
      <c r="B2" s="3" t="inlineStr">
        <is>
          <t>Se actualiza automáticamente a partir de la hoja '2. Matriz de Riesgos'.</t>
        </is>
      </c>
    </row>
    <row r="4" ht="22" customHeight="1">
      <c r="A4" s="4" t="inlineStr">
        <is>
          <t xml:space="preserve">  PERFIL DE RIESGO POR NIVEL</t>
        </is>
      </c>
    </row>
    <row r="5" ht="26" customHeight="1">
      <c r="A5" s="6" t="inlineStr"/>
      <c r="B5" s="6" t="inlineStr">
        <is>
          <t>Nivel de riesgo</t>
        </is>
      </c>
      <c r="C5" s="6" t="inlineStr">
        <is>
          <t>Cantidad</t>
        </is>
      </c>
      <c r="D5" s="6" t="inlineStr">
        <is>
          <t>% del total</t>
        </is>
      </c>
      <c r="E5" s="6" t="inlineStr">
        <is>
          <t>Frecuencia mínima de revisión</t>
        </is>
      </c>
      <c r="F5" s="42" t="n"/>
      <c r="G5" s="42" t="n"/>
      <c r="H5" s="42" t="n"/>
      <c r="I5" s="43" t="n"/>
    </row>
    <row r="6" ht="20" customHeight="1">
      <c r="B6" s="9" t="inlineStr">
        <is>
          <t>Extremo</t>
        </is>
      </c>
      <c r="C6" s="46">
        <f>COUNTIF('2. Matriz de Riesgos'!$L$5:$L$122,"Extremo")</f>
        <v>5</v>
      </c>
      <c r="D6" s="47">
        <f>IFERROR(C6/$C$11,0)</f>
        <v>0.0423728813559322</v>
      </c>
      <c r="E6" s="48" t="inlineStr">
        <is>
          <t>Diaria/por turno + inspección semanal</t>
        </is>
      </c>
      <c r="F6" s="44" t="n"/>
      <c r="G6" s="44" t="n"/>
      <c r="H6" s="44" t="n"/>
      <c r="I6" s="44" t="n"/>
    </row>
    <row r="7" ht="20" customHeight="1">
      <c r="B7" s="10" t="inlineStr">
        <is>
          <t>Alto</t>
        </is>
      </c>
      <c r="C7" s="46">
        <f>COUNTIF('2. Matriz de Riesgos'!$L$5:$L$122,"Alto")</f>
        <v>75</v>
      </c>
      <c r="D7" s="47">
        <f>IFERROR(C7/$C$11,0)</f>
        <v>0.635593220338983</v>
      </c>
      <c r="E7" s="48" t="inlineStr">
        <is>
          <t>Semanal + inspección mensual</t>
        </is>
      </c>
      <c r="F7" s="44" t="n"/>
      <c r="G7" s="44" t="n"/>
      <c r="H7" s="44" t="n"/>
      <c r="I7" s="44" t="n"/>
    </row>
    <row r="8" ht="20" customHeight="1">
      <c r="B8" s="40" t="inlineStr">
        <is>
          <t>Medio</t>
        </is>
      </c>
      <c r="C8" s="46">
        <f>COUNTIF('2. Matriz de Riesgos'!$L$5:$L$122,"Medio")</f>
        <v>38</v>
      </c>
      <c r="D8" s="47">
        <f>IFERROR(C8/$C$11,0)</f>
        <v>0.3220338983050847</v>
      </c>
      <c r="E8" s="48" t="inlineStr">
        <is>
          <t>Mensual o trimestral</t>
        </is>
      </c>
      <c r="F8" s="44" t="n"/>
      <c r="G8" s="44" t="n"/>
      <c r="H8" s="44" t="n"/>
      <c r="I8" s="44" t="n"/>
    </row>
    <row r="9" ht="20" customHeight="1">
      <c r="B9" s="12" t="inlineStr">
        <is>
          <t>Bajo</t>
        </is>
      </c>
      <c r="C9" s="46">
        <f>COUNTIF('2. Matriz de Riesgos'!$L$5:$L$122,"Bajo")</f>
        <v>0</v>
      </c>
      <c r="D9" s="47">
        <f>IFERROR(C9/$C$11,0)</f>
        <v>0.0</v>
      </c>
      <c r="E9" s="48" t="inlineStr">
        <is>
          <t>Semestral</t>
        </is>
      </c>
      <c r="F9" s="44" t="n"/>
      <c r="G9" s="44" t="n"/>
      <c r="H9" s="44" t="n"/>
      <c r="I9" s="44" t="n"/>
    </row>
    <row r="10" ht="20" customHeight="1">
      <c r="B10" s="41" t="inlineStr">
        <is>
          <t>Muy bajo</t>
        </is>
      </c>
      <c r="C10" s="46">
        <f>COUNTIF('2. Matriz de Riesgos'!$L$5:$L$122,"Muy bajo")</f>
        <v>0</v>
      </c>
      <c r="D10" s="47">
        <f>IFERROR(C10/$C$11,0)</f>
        <v>0.0</v>
      </c>
      <c r="E10" s="48" t="inlineStr">
        <is>
          <t>Anual</t>
        </is>
      </c>
      <c r="F10" s="44" t="n"/>
      <c r="G10" s="44" t="n"/>
      <c r="H10" s="44" t="n"/>
      <c r="I10" s="44" t="n"/>
    </row>
    <row r="11">
      <c r="B11" s="49" t="inlineStr">
        <is>
          <t>Riesgos evaluados</t>
        </is>
      </c>
      <c r="C11" s="50">
        <f>SUM(C6:C10)</f>
        <v>118</v>
      </c>
      <c r="D11" s="51" t="n"/>
    </row>
    <row r="13" ht="22" customHeight="1">
      <c r="A13" s="4" t="inlineStr">
        <is>
          <t xml:space="preserve">  ESTADO DE CUMPLIMIENTO DEL CHECKLIST</t>
        </is>
      </c>
    </row>
    <row r="14" ht="24" customHeight="1">
      <c r="A14" s="6" t="inlineStr"/>
      <c r="B14" s="6" t="inlineStr">
        <is>
          <t>Resultado de la verificación</t>
        </is>
      </c>
      <c r="C14" s="6" t="inlineStr">
        <is>
          <t>Cantidad</t>
        </is>
      </c>
      <c r="D14" s="6" t="inlineStr">
        <is>
          <t>%</t>
        </is>
      </c>
      <c r="E14" s="6" t="inlineStr"/>
      <c r="F14" s="42" t="n"/>
      <c r="G14" s="42" t="n"/>
      <c r="H14" s="42" t="n"/>
      <c r="I14" s="43" t="n"/>
    </row>
    <row r="15" ht="18" customHeight="1">
      <c r="B15" s="17" t="inlineStr">
        <is>
          <t>Sí</t>
        </is>
      </c>
      <c r="C15" s="46">
        <f>COUNTIF('2. Matriz de Riesgos'!$Q$5:$Q$122,"Sí")</f>
        <v>0</v>
      </c>
      <c r="D15" s="47">
        <f>IFERROR(C15/COUNTA('2. Matriz de Riesgos'!$Q$5:$Q$122),0)</f>
        <v>0</v>
      </c>
    </row>
    <row r="16" ht="18" customHeight="1">
      <c r="B16" s="17" t="inlineStr">
        <is>
          <t>Parcial</t>
        </is>
      </c>
      <c r="C16" s="46">
        <f>COUNTIF('2. Matriz de Riesgos'!$Q$5:$Q$122,"Parcial")</f>
        <v>0</v>
      </c>
      <c r="D16" s="47">
        <f>IFERROR(C16/COUNTA('2. Matriz de Riesgos'!$Q$5:$Q$122),0)</f>
        <v>0</v>
      </c>
    </row>
    <row r="17" ht="18" customHeight="1">
      <c r="B17" s="17" t="inlineStr">
        <is>
          <t>No</t>
        </is>
      </c>
      <c r="C17" s="46">
        <f>COUNTIF('2. Matriz de Riesgos'!$Q$5:$Q$122,"No")</f>
        <v>0</v>
      </c>
      <c r="D17" s="47">
        <f>IFERROR(C17/COUNTA('2. Matriz de Riesgos'!$Q$5:$Q$122),0)</f>
        <v>0</v>
      </c>
    </row>
    <row r="18" ht="18" customHeight="1">
      <c r="B18" s="17" t="inlineStr">
        <is>
          <t>N.A.</t>
        </is>
      </c>
      <c r="C18" s="46">
        <f>COUNTIF('2. Matriz de Riesgos'!$Q$5:$Q$122,"N.A.")</f>
        <v>0</v>
      </c>
      <c r="D18" s="47">
        <f>IFERROR(C18/COUNTA('2. Matriz de Riesgos'!$Q$5:$Q$122),0)</f>
        <v>0</v>
      </c>
    </row>
    <row r="19" ht="18" customHeight="1">
      <c r="B19" s="17" t="inlineStr">
        <is>
          <t>Sin evaluar</t>
        </is>
      </c>
      <c r="C19" s="46">
        <f>COUNTIF('2. Matriz de Riesgos'!$Q$5:$Q$122,"Sin evaluar")</f>
        <v>0</v>
      </c>
      <c r="D19" s="47">
        <f>IFERROR(C19/COUNTA('2. Matriz de Riesgos'!$Q$5:$Q$122),0)</f>
        <v>0</v>
      </c>
    </row>
    <row r="20">
      <c r="B20" s="49" t="inlineStr">
        <is>
          <t>Índice de cumplimiento  =  Sí / (Sí + Parcial + No)</t>
        </is>
      </c>
      <c r="C20" s="52">
        <f>IFERROR(C15/(C15+C16+C17),0)</f>
        <v>0</v>
      </c>
      <c r="D20" s="51" t="n"/>
    </row>
    <row r="22" ht="22" customHeight="1">
      <c r="A22" s="4" t="inlineStr">
        <is>
          <t xml:space="preserve">  PERFIL DE RIESGO POR CATEGORÍA</t>
        </is>
      </c>
    </row>
    <row r="23" ht="32" customHeight="1">
      <c r="A23" s="6" t="inlineStr"/>
      <c r="B23" s="6" t="inlineStr">
        <is>
          <t>Categoría de riesgo</t>
        </is>
      </c>
      <c r="C23" s="6" t="inlineStr">
        <is>
          <t>Extremo</t>
        </is>
      </c>
      <c r="D23" s="6" t="inlineStr">
        <is>
          <t>Alto</t>
        </is>
      </c>
      <c r="E23" s="6" t="inlineStr">
        <is>
          <t>Medio</t>
        </is>
      </c>
      <c r="F23" s="6" t="inlineStr">
        <is>
          <t>Bajo</t>
        </is>
      </c>
      <c r="G23" s="6" t="inlineStr">
        <is>
          <t>Muy bajo</t>
        </is>
      </c>
      <c r="H23" s="6" t="inlineStr">
        <is>
          <t>Total</t>
        </is>
      </c>
      <c r="I23" s="6" t="inlineStr">
        <is>
          <t>Riesgos que exigen verificación semanal o más frecuente</t>
        </is>
      </c>
    </row>
    <row r="24" ht="18" customHeight="1">
      <c r="B24" s="8" t="inlineStr">
        <is>
          <t>A. Infraestructura y edificio</t>
        </is>
      </c>
      <c r="C24" s="46">
        <f>COUNTIFS('2. Matriz de Riesgos'!$B$5:$B$122,$B24,'2. Matriz de Riesgos'!$L$5:$L$122,"Extremo")</f>
        <v>1</v>
      </c>
      <c r="D24" s="46">
        <f>COUNTIFS('2. Matriz de Riesgos'!$B$5:$B$122,$B24,'2. Matriz de Riesgos'!$L$5:$L$122,"Alto")</f>
        <v>3</v>
      </c>
      <c r="E24" s="46">
        <f>COUNTIFS('2. Matriz de Riesgos'!$B$5:$B$122,$B24,'2. Matriz de Riesgos'!$L$5:$L$122,"Medio")</f>
        <v>2</v>
      </c>
      <c r="F24" s="46">
        <f>COUNTIFS('2. Matriz de Riesgos'!$B$5:$B$122,$B24,'2. Matriz de Riesgos'!$L$5:$L$122,"Bajo")</f>
        <v>0</v>
      </c>
      <c r="G24" s="46">
        <f>COUNTIFS('2. Matriz de Riesgos'!$B$5:$B$122,$B24,'2. Matriz de Riesgos'!$L$5:$L$122,"Muy bajo")</f>
        <v>0</v>
      </c>
      <c r="H24" s="17">
        <f>SUM(C24:G24)</f>
        <v>6</v>
      </c>
      <c r="I24" s="46">
        <f>C24+D24</f>
        <v>4</v>
      </c>
    </row>
    <row r="25" ht="26" customHeight="1">
      <c r="B25" s="8" t="inlineStr">
        <is>
          <t>B. Estantería y sistemas de almacenamiento</t>
        </is>
      </c>
      <c r="C25" s="46">
        <f>COUNTIFS('2. Matriz de Riesgos'!$B$5:$B$122,$B25,'2. Matriz de Riesgos'!$L$5:$L$122,"Extremo")</f>
        <v>2</v>
      </c>
      <c r="D25" s="46">
        <f>COUNTIFS('2. Matriz de Riesgos'!$B$5:$B$122,$B25,'2. Matriz de Riesgos'!$L$5:$L$122,"Alto")</f>
        <v>9</v>
      </c>
      <c r="E25" s="46">
        <f>COUNTIFS('2. Matriz de Riesgos'!$B$5:$B$122,$B25,'2. Matriz de Riesgos'!$L$5:$L$122,"Medio")</f>
        <v>1</v>
      </c>
      <c r="F25" s="46">
        <f>COUNTIFS('2. Matriz de Riesgos'!$B$5:$B$122,$B25,'2. Matriz de Riesgos'!$L$5:$L$122,"Bajo")</f>
        <v>0</v>
      </c>
      <c r="G25" s="46">
        <f>COUNTIFS('2. Matriz de Riesgos'!$B$5:$B$122,$B25,'2. Matriz de Riesgos'!$L$5:$L$122,"Muy bajo")</f>
        <v>0</v>
      </c>
      <c r="H25" s="17">
        <f>SUM(C25:G25)</f>
        <v>12</v>
      </c>
      <c r="I25" s="46">
        <f>C25+D25</f>
        <v>11</v>
      </c>
    </row>
    <row r="26" ht="18" customHeight="1">
      <c r="B26" s="8" t="inlineStr">
        <is>
          <t>C. Volumen de inventario y ocupación</t>
        </is>
      </c>
      <c r="C26" s="46">
        <f>COUNTIFS('2. Matriz de Riesgos'!$B$5:$B$122,$B26,'2. Matriz de Riesgos'!$L$5:$L$122,"Extremo")</f>
        <v>1</v>
      </c>
      <c r="D26" s="46">
        <f>COUNTIFS('2. Matriz de Riesgos'!$B$5:$B$122,$B26,'2. Matriz de Riesgos'!$L$5:$L$122,"Alto")</f>
        <v>4</v>
      </c>
      <c r="E26" s="46">
        <f>COUNTIFS('2. Matriz de Riesgos'!$B$5:$B$122,$B26,'2. Matriz de Riesgos'!$L$5:$L$122,"Medio")</f>
        <v>1</v>
      </c>
      <c r="F26" s="46">
        <f>COUNTIFS('2. Matriz de Riesgos'!$B$5:$B$122,$B26,'2. Matriz de Riesgos'!$L$5:$L$122,"Bajo")</f>
        <v>0</v>
      </c>
      <c r="G26" s="46">
        <f>COUNTIFS('2. Matriz de Riesgos'!$B$5:$B$122,$B26,'2. Matriz de Riesgos'!$L$5:$L$122,"Muy bajo")</f>
        <v>0</v>
      </c>
      <c r="H26" s="17">
        <f>SUM(C26:G26)</f>
        <v>6</v>
      </c>
      <c r="I26" s="46">
        <f>C26+D26</f>
        <v>5</v>
      </c>
    </row>
    <row r="27" ht="18" customHeight="1">
      <c r="B27" s="8" t="inlineStr">
        <is>
          <t>D. Muelles y patio de maniobras</t>
        </is>
      </c>
      <c r="C27" s="46">
        <f>COUNTIFS('2. Matriz de Riesgos'!$B$5:$B$122,$B27,'2. Matriz de Riesgos'!$L$5:$L$122,"Extremo")</f>
        <v>0</v>
      </c>
      <c r="D27" s="46">
        <f>COUNTIFS('2. Matriz de Riesgos'!$B$5:$B$122,$B27,'2. Matriz de Riesgos'!$L$5:$L$122,"Alto")</f>
        <v>6</v>
      </c>
      <c r="E27" s="46">
        <f>COUNTIFS('2. Matriz de Riesgos'!$B$5:$B$122,$B27,'2. Matriz de Riesgos'!$L$5:$L$122,"Medio")</f>
        <v>4</v>
      </c>
      <c r="F27" s="46">
        <f>COUNTIFS('2. Matriz de Riesgos'!$B$5:$B$122,$B27,'2. Matriz de Riesgos'!$L$5:$L$122,"Bajo")</f>
        <v>0</v>
      </c>
      <c r="G27" s="46">
        <f>COUNTIFS('2. Matriz de Riesgos'!$B$5:$B$122,$B27,'2. Matriz de Riesgos'!$L$5:$L$122,"Muy bajo")</f>
        <v>0</v>
      </c>
      <c r="H27" s="17">
        <f>SUM(C27:G27)</f>
        <v>10</v>
      </c>
      <c r="I27" s="46">
        <f>C27+D27</f>
        <v>6</v>
      </c>
    </row>
    <row r="28" ht="18" customHeight="1">
      <c r="B28" s="8" t="inlineStr">
        <is>
          <t>E. Equipos de manipulación (MHE)</t>
        </is>
      </c>
      <c r="C28" s="46">
        <f>COUNTIFS('2. Matriz de Riesgos'!$B$5:$B$122,$B28,'2. Matriz de Riesgos'!$L$5:$L$122,"Extremo")</f>
        <v>1</v>
      </c>
      <c r="D28" s="46">
        <f>COUNTIFS('2. Matriz de Riesgos'!$B$5:$B$122,$B28,'2. Matriz de Riesgos'!$L$5:$L$122,"Alto")</f>
        <v>7</v>
      </c>
      <c r="E28" s="46">
        <f>COUNTIFS('2. Matriz de Riesgos'!$B$5:$B$122,$B28,'2. Matriz de Riesgos'!$L$5:$L$122,"Medio")</f>
        <v>2</v>
      </c>
      <c r="F28" s="46">
        <f>COUNTIFS('2. Matriz de Riesgos'!$B$5:$B$122,$B28,'2. Matriz de Riesgos'!$L$5:$L$122,"Bajo")</f>
        <v>0</v>
      </c>
      <c r="G28" s="46">
        <f>COUNTIFS('2. Matriz de Riesgos'!$B$5:$B$122,$B28,'2. Matriz de Riesgos'!$L$5:$L$122,"Muy bajo")</f>
        <v>0</v>
      </c>
      <c r="H28" s="17">
        <f>SUM(C28:G28)</f>
        <v>10</v>
      </c>
      <c r="I28" s="46">
        <f>C28+D28</f>
        <v>8</v>
      </c>
    </row>
    <row r="29" ht="26" customHeight="1">
      <c r="B29" s="8" t="inlineStr">
        <is>
          <t>F. Incendio y protección contra incendio</t>
        </is>
      </c>
      <c r="C29" s="46">
        <f>COUNTIFS('2. Matriz de Riesgos'!$B$5:$B$122,$B29,'2. Matriz de Riesgos'!$L$5:$L$122,"Extremo")</f>
        <v>0</v>
      </c>
      <c r="D29" s="46">
        <f>COUNTIFS('2. Matriz de Riesgos'!$B$5:$B$122,$B29,'2. Matriz de Riesgos'!$L$5:$L$122,"Alto")</f>
        <v>12</v>
      </c>
      <c r="E29" s="46">
        <f>COUNTIFS('2. Matriz de Riesgos'!$B$5:$B$122,$B29,'2. Matriz de Riesgos'!$L$5:$L$122,"Medio")</f>
        <v>1</v>
      </c>
      <c r="F29" s="46">
        <f>COUNTIFS('2. Matriz de Riesgos'!$B$5:$B$122,$B29,'2. Matriz de Riesgos'!$L$5:$L$122,"Bajo")</f>
        <v>0</v>
      </c>
      <c r="G29" s="46">
        <f>COUNTIFS('2. Matriz de Riesgos'!$B$5:$B$122,$B29,'2. Matriz de Riesgos'!$L$5:$L$122,"Muy bajo")</f>
        <v>0</v>
      </c>
      <c r="H29" s="17">
        <f>SUM(C29:G29)</f>
        <v>13</v>
      </c>
      <c r="I29" s="46">
        <f>C29+D29</f>
        <v>12</v>
      </c>
    </row>
    <row r="30" ht="18" customHeight="1">
      <c r="B30" s="8" t="inlineStr">
        <is>
          <t>G. Riesgos naturales y del entorno</t>
        </is>
      </c>
      <c r="C30" s="46">
        <f>COUNTIFS('2. Matriz de Riesgos'!$B$5:$B$122,$B30,'2. Matriz de Riesgos'!$L$5:$L$122,"Extremo")</f>
        <v>0</v>
      </c>
      <c r="D30" s="46">
        <f>COUNTIFS('2. Matriz de Riesgos'!$B$5:$B$122,$B30,'2. Matriz de Riesgos'!$L$5:$L$122,"Alto")</f>
        <v>4</v>
      </c>
      <c r="E30" s="46">
        <f>COUNTIFS('2. Matriz de Riesgos'!$B$5:$B$122,$B30,'2. Matriz de Riesgos'!$L$5:$L$122,"Medio")</f>
        <v>5</v>
      </c>
      <c r="F30" s="46">
        <f>COUNTIFS('2. Matriz de Riesgos'!$B$5:$B$122,$B30,'2. Matriz de Riesgos'!$L$5:$L$122,"Bajo")</f>
        <v>0</v>
      </c>
      <c r="G30" s="46">
        <f>COUNTIFS('2. Matriz de Riesgos'!$B$5:$B$122,$B30,'2. Matriz de Riesgos'!$L$5:$L$122,"Muy bajo")</f>
        <v>0</v>
      </c>
      <c r="H30" s="17">
        <f>SUM(C30:G30)</f>
        <v>9</v>
      </c>
      <c r="I30" s="46">
        <f>C30+D30</f>
        <v>4</v>
      </c>
    </row>
    <row r="31" ht="18" customHeight="1">
      <c r="B31" s="8" t="inlineStr">
        <is>
          <t>H. Eléctrico y servicios industriales</t>
        </is>
      </c>
      <c r="C31" s="46">
        <f>COUNTIFS('2. Matriz de Riesgos'!$B$5:$B$122,$B31,'2. Matriz de Riesgos'!$L$5:$L$122,"Extremo")</f>
        <v>0</v>
      </c>
      <c r="D31" s="46">
        <f>COUNTIFS('2. Matriz de Riesgos'!$B$5:$B$122,$B31,'2. Matriz de Riesgos'!$L$5:$L$122,"Alto")</f>
        <v>2</v>
      </c>
      <c r="E31" s="46">
        <f>COUNTIFS('2. Matriz de Riesgos'!$B$5:$B$122,$B31,'2. Matriz de Riesgos'!$L$5:$L$122,"Medio")</f>
        <v>3</v>
      </c>
      <c r="F31" s="46">
        <f>COUNTIFS('2. Matriz de Riesgos'!$B$5:$B$122,$B31,'2. Matriz de Riesgos'!$L$5:$L$122,"Bajo")</f>
        <v>0</v>
      </c>
      <c r="G31" s="46">
        <f>COUNTIFS('2. Matriz de Riesgos'!$B$5:$B$122,$B31,'2. Matriz de Riesgos'!$L$5:$L$122,"Muy bajo")</f>
        <v>0</v>
      </c>
      <c r="H31" s="17">
        <f>SUM(C31:G31)</f>
        <v>5</v>
      </c>
      <c r="I31" s="46">
        <f>C31+D31</f>
        <v>2</v>
      </c>
    </row>
    <row r="32" ht="26" customHeight="1">
      <c r="B32" s="8" t="inlineStr">
        <is>
          <t>I. Seguridad física y protección de la carga</t>
        </is>
      </c>
      <c r="C32" s="46">
        <f>COUNTIFS('2. Matriz de Riesgos'!$B$5:$B$122,$B32,'2. Matriz de Riesgos'!$L$5:$L$122,"Extremo")</f>
        <v>0</v>
      </c>
      <c r="D32" s="46">
        <f>COUNTIFS('2. Matriz de Riesgos'!$B$5:$B$122,$B32,'2. Matriz de Riesgos'!$L$5:$L$122,"Alto")</f>
        <v>5</v>
      </c>
      <c r="E32" s="46">
        <f>COUNTIFS('2. Matriz de Riesgos'!$B$5:$B$122,$B32,'2. Matriz de Riesgos'!$L$5:$L$122,"Medio")</f>
        <v>3</v>
      </c>
      <c r="F32" s="46">
        <f>COUNTIFS('2. Matriz de Riesgos'!$B$5:$B$122,$B32,'2. Matriz de Riesgos'!$L$5:$L$122,"Bajo")</f>
        <v>0</v>
      </c>
      <c r="G32" s="46">
        <f>COUNTIFS('2. Matriz de Riesgos'!$B$5:$B$122,$B32,'2. Matriz de Riesgos'!$L$5:$L$122,"Muy bajo")</f>
        <v>0</v>
      </c>
      <c r="H32" s="17">
        <f>SUM(C32:G32)</f>
        <v>8</v>
      </c>
      <c r="I32" s="46">
        <f>C32+D32</f>
        <v>5</v>
      </c>
    </row>
    <row r="33" ht="18" customHeight="1">
      <c r="B33" s="8" t="inlineStr">
        <is>
          <t>J. Tecnología de información</t>
        </is>
      </c>
      <c r="C33" s="46">
        <f>COUNTIFS('2. Matriz de Riesgos'!$B$5:$B$122,$B33,'2. Matriz de Riesgos'!$L$5:$L$122,"Extremo")</f>
        <v>0</v>
      </c>
      <c r="D33" s="46">
        <f>COUNTIFS('2. Matriz de Riesgos'!$B$5:$B$122,$B33,'2. Matriz de Riesgos'!$L$5:$L$122,"Alto")</f>
        <v>3</v>
      </c>
      <c r="E33" s="46">
        <f>COUNTIFS('2. Matriz de Riesgos'!$B$5:$B$122,$B33,'2. Matriz de Riesgos'!$L$5:$L$122,"Medio")</f>
        <v>1</v>
      </c>
      <c r="F33" s="46">
        <f>COUNTIFS('2. Matriz de Riesgos'!$B$5:$B$122,$B33,'2. Matriz de Riesgos'!$L$5:$L$122,"Bajo")</f>
        <v>0</v>
      </c>
      <c r="G33" s="46">
        <f>COUNTIFS('2. Matriz de Riesgos'!$B$5:$B$122,$B33,'2. Matriz de Riesgos'!$L$5:$L$122,"Muy bajo")</f>
        <v>0</v>
      </c>
      <c r="H33" s="17">
        <f>SUM(C33:G33)</f>
        <v>4</v>
      </c>
      <c r="I33" s="46">
        <f>C33+D33</f>
        <v>3</v>
      </c>
    </row>
    <row r="34" ht="26" customHeight="1">
      <c r="B34" s="8" t="inlineStr">
        <is>
          <t>K. Personas y seguridad y salud en el trabajo</t>
        </is>
      </c>
      <c r="C34" s="46">
        <f>COUNTIFS('2. Matriz de Riesgos'!$B$5:$B$122,$B34,'2. Matriz de Riesgos'!$L$5:$L$122,"Extremo")</f>
        <v>0</v>
      </c>
      <c r="D34" s="46">
        <f>COUNTIFS('2. Matriz de Riesgos'!$B$5:$B$122,$B34,'2. Matriz de Riesgos'!$L$5:$L$122,"Alto")</f>
        <v>5</v>
      </c>
      <c r="E34" s="46">
        <f>COUNTIFS('2. Matriz de Riesgos'!$B$5:$B$122,$B34,'2. Matriz de Riesgos'!$L$5:$L$122,"Medio")</f>
        <v>4</v>
      </c>
      <c r="F34" s="46">
        <f>COUNTIFS('2. Matriz de Riesgos'!$B$5:$B$122,$B34,'2. Matriz de Riesgos'!$L$5:$L$122,"Bajo")</f>
        <v>0</v>
      </c>
      <c r="G34" s="46">
        <f>COUNTIFS('2. Matriz de Riesgos'!$B$5:$B$122,$B34,'2. Matriz de Riesgos'!$L$5:$L$122,"Muy bajo")</f>
        <v>0</v>
      </c>
      <c r="H34" s="17">
        <f>SUM(C34:G34)</f>
        <v>9</v>
      </c>
      <c r="I34" s="46">
        <f>C34+D34</f>
        <v>5</v>
      </c>
    </row>
    <row r="35" ht="18" customHeight="1">
      <c r="B35" s="8" t="inlineStr">
        <is>
          <t>L. Producto, calidad y sanidad</t>
        </is>
      </c>
      <c r="C35" s="46">
        <f>COUNTIFS('2. Matriz de Riesgos'!$B$5:$B$122,$B35,'2. Matriz de Riesgos'!$L$5:$L$122,"Extremo")</f>
        <v>0</v>
      </c>
      <c r="D35" s="46">
        <f>COUNTIFS('2. Matriz de Riesgos'!$B$5:$B$122,$B35,'2. Matriz de Riesgos'!$L$5:$L$122,"Alto")</f>
        <v>7</v>
      </c>
      <c r="E35" s="46">
        <f>COUNTIFS('2. Matriz de Riesgos'!$B$5:$B$122,$B35,'2. Matriz de Riesgos'!$L$5:$L$122,"Medio")</f>
        <v>3</v>
      </c>
      <c r="F35" s="46">
        <f>COUNTIFS('2. Matriz de Riesgos'!$B$5:$B$122,$B35,'2. Matriz de Riesgos'!$L$5:$L$122,"Bajo")</f>
        <v>0</v>
      </c>
      <c r="G35" s="46">
        <f>COUNTIFS('2. Matriz de Riesgos'!$B$5:$B$122,$B35,'2. Matriz de Riesgos'!$L$5:$L$122,"Muy bajo")</f>
        <v>0</v>
      </c>
      <c r="H35" s="17">
        <f>SUM(C35:G35)</f>
        <v>10</v>
      </c>
      <c r="I35" s="46">
        <f>C35+D35</f>
        <v>7</v>
      </c>
    </row>
    <row r="36" ht="18" customHeight="1">
      <c r="B36" s="8" t="inlineStr">
        <is>
          <t>M. Operación y procesos</t>
        </is>
      </c>
      <c r="C36" s="46">
        <f>COUNTIFS('2. Matriz de Riesgos'!$B$5:$B$122,$B36,'2. Matriz de Riesgos'!$L$5:$L$122,"Extremo")</f>
        <v>0</v>
      </c>
      <c r="D36" s="46">
        <f>COUNTIFS('2. Matriz de Riesgos'!$B$5:$B$122,$B36,'2. Matriz de Riesgos'!$L$5:$L$122,"Alto")</f>
        <v>1</v>
      </c>
      <c r="E36" s="46">
        <f>COUNTIFS('2. Matriz de Riesgos'!$B$5:$B$122,$B36,'2. Matriz de Riesgos'!$L$5:$L$122,"Medio")</f>
        <v>4</v>
      </c>
      <c r="F36" s="46">
        <f>COUNTIFS('2. Matriz de Riesgos'!$B$5:$B$122,$B36,'2. Matriz de Riesgos'!$L$5:$L$122,"Bajo")</f>
        <v>0</v>
      </c>
      <c r="G36" s="46">
        <f>COUNTIFS('2. Matriz de Riesgos'!$B$5:$B$122,$B36,'2. Matriz de Riesgos'!$L$5:$L$122,"Muy bajo")</f>
        <v>0</v>
      </c>
      <c r="H36" s="17">
        <f>SUM(C36:G36)</f>
        <v>5</v>
      </c>
      <c r="I36" s="46">
        <f>C36+D36</f>
        <v>1</v>
      </c>
    </row>
    <row r="37" ht="26" customHeight="1">
      <c r="B37" s="8" t="inlineStr">
        <is>
          <t>N. Terceros, contratistas y proveedores</t>
        </is>
      </c>
      <c r="C37" s="46">
        <f>COUNTIFS('2. Matriz de Riesgos'!$B$5:$B$122,$B37,'2. Matriz de Riesgos'!$L$5:$L$122,"Extremo")</f>
        <v>0</v>
      </c>
      <c r="D37" s="46">
        <f>COUNTIFS('2. Matriz de Riesgos'!$B$5:$B$122,$B37,'2. Matriz de Riesgos'!$L$5:$L$122,"Alto")</f>
        <v>3</v>
      </c>
      <c r="E37" s="46">
        <f>COUNTIFS('2. Matriz de Riesgos'!$B$5:$B$122,$B37,'2. Matriz de Riesgos'!$L$5:$L$122,"Medio")</f>
        <v>1</v>
      </c>
      <c r="F37" s="46">
        <f>COUNTIFS('2. Matriz de Riesgos'!$B$5:$B$122,$B37,'2. Matriz de Riesgos'!$L$5:$L$122,"Bajo")</f>
        <v>0</v>
      </c>
      <c r="G37" s="46">
        <f>COUNTIFS('2. Matriz de Riesgos'!$B$5:$B$122,$B37,'2. Matriz de Riesgos'!$L$5:$L$122,"Muy bajo")</f>
        <v>0</v>
      </c>
      <c r="H37" s="17">
        <f>SUM(C37:G37)</f>
        <v>4</v>
      </c>
      <c r="I37" s="46">
        <f>C37+D37</f>
        <v>3</v>
      </c>
    </row>
    <row r="38" ht="18" customHeight="1">
      <c r="B38" s="8" t="inlineStr">
        <is>
          <t>O. Legal, financiero y continuidad</t>
        </is>
      </c>
      <c r="C38" s="46">
        <f>COUNTIFS('2. Matriz de Riesgos'!$B$5:$B$122,$B38,'2. Matriz de Riesgos'!$L$5:$L$122,"Extremo")</f>
        <v>0</v>
      </c>
      <c r="D38" s="46">
        <f>COUNTIFS('2. Matriz de Riesgos'!$B$5:$B$122,$B38,'2. Matriz de Riesgos'!$L$5:$L$122,"Alto")</f>
        <v>4</v>
      </c>
      <c r="E38" s="46">
        <f>COUNTIFS('2. Matriz de Riesgos'!$B$5:$B$122,$B38,'2. Matriz de Riesgos'!$L$5:$L$122,"Medio")</f>
        <v>3</v>
      </c>
      <c r="F38" s="46">
        <f>COUNTIFS('2. Matriz de Riesgos'!$B$5:$B$122,$B38,'2. Matriz de Riesgos'!$L$5:$L$122,"Bajo")</f>
        <v>0</v>
      </c>
      <c r="G38" s="46">
        <f>COUNTIFS('2. Matriz de Riesgos'!$B$5:$B$122,$B38,'2. Matriz de Riesgos'!$L$5:$L$122,"Muy bajo")</f>
        <v>0</v>
      </c>
      <c r="H38" s="17">
        <f>SUM(C38:G38)</f>
        <v>7</v>
      </c>
      <c r="I38" s="46">
        <f>C38+D38</f>
        <v>4</v>
      </c>
    </row>
    <row r="40" ht="22" customHeight="1">
      <c r="A40" s="4" t="inlineStr">
        <is>
          <t xml:space="preserve">  INDICADORES QUE CONVIENE MONITOREAR (señales tempranas)</t>
        </is>
      </c>
    </row>
    <row r="41" ht="24" customHeight="1">
      <c r="A41" s="6" t="inlineStr"/>
      <c r="B41" s="6" t="inlineStr">
        <is>
          <t>Indicador</t>
        </is>
      </c>
      <c r="C41" s="6" t="inlineStr">
        <is>
          <t>Fórmula / unidad</t>
        </is>
      </c>
      <c r="D41" s="43" t="n"/>
      <c r="E41" s="6" t="inlineStr">
        <is>
          <t>Frecuencia</t>
        </is>
      </c>
      <c r="F41" s="43" t="n"/>
      <c r="G41" s="6" t="inlineStr">
        <is>
          <t>Meta de referencia</t>
        </is>
      </c>
      <c r="H41" s="42" t="n"/>
      <c r="I41" s="43" t="n"/>
    </row>
    <row r="42" ht="26" customHeight="1">
      <c r="B42" s="8" t="inlineStr">
        <is>
          <t>Ocupación de posiciones de estiba</t>
        </is>
      </c>
      <c r="C42" s="8" t="inlineStr">
        <is>
          <t>Posiciones ocupadas / instaladas</t>
        </is>
      </c>
      <c r="D42" s="53" t="n"/>
      <c r="E42" s="15" t="inlineStr">
        <is>
          <t>Diaria</t>
        </is>
      </c>
      <c r="F42" s="53" t="n"/>
      <c r="G42" s="8" t="inlineStr">
        <is>
          <t>≤ 85% promedio</t>
        </is>
      </c>
      <c r="H42" s="53" t="n"/>
      <c r="I42" s="53" t="n"/>
    </row>
    <row r="43" ht="26" customHeight="1">
      <c r="B43" s="8" t="inlineStr">
        <is>
          <t>Daños en estantería detectados (rojo / ámbar)</t>
        </is>
      </c>
      <c r="C43" s="8" t="inlineStr">
        <is>
          <t>N° de módulos por color</t>
        </is>
      </c>
      <c r="D43" s="53" t="n"/>
      <c r="E43" s="15" t="inlineStr">
        <is>
          <t>Semanal</t>
        </is>
      </c>
      <c r="F43" s="53" t="n"/>
      <c r="G43" s="8" t="inlineStr">
        <is>
          <t>0 rojos; ámbar en reparación ≤ 30 días</t>
        </is>
      </c>
      <c r="H43" s="53" t="n"/>
      <c r="I43" s="53" t="n"/>
    </row>
    <row r="44" ht="26" customHeight="1">
      <c r="B44" s="8" t="inlineStr">
        <is>
          <t>Accidentalidad y casi-accidentes</t>
        </is>
      </c>
      <c r="C44" s="8" t="inlineStr">
        <is>
          <t>Frecuencia y severidad; N° de reportes</t>
        </is>
      </c>
      <c r="D44" s="53" t="n"/>
      <c r="E44" s="15" t="inlineStr">
        <is>
          <t>Mensual</t>
        </is>
      </c>
      <c r="F44" s="53" t="n"/>
      <c r="G44" s="8" t="inlineStr">
        <is>
          <t>Tendencia decreciente; reportes al alza (cultura)</t>
        </is>
      </c>
      <c r="H44" s="53" t="n"/>
      <c r="I44" s="53" t="n"/>
    </row>
    <row r="45" ht="26" customHeight="1">
      <c r="B45" s="8" t="inlineStr">
        <is>
          <t>Impactos de montacargas registrados</t>
        </is>
      </c>
      <c r="C45" s="8" t="inlineStr">
        <is>
          <t>N° de impactos / 1.000 horas de operación</t>
        </is>
      </c>
      <c r="D45" s="53" t="n"/>
      <c r="E45" s="15" t="inlineStr">
        <is>
          <t>Mensual</t>
        </is>
      </c>
      <c r="F45" s="53" t="n"/>
      <c r="G45" s="8" t="inlineStr">
        <is>
          <t>Tendencia decreciente</t>
        </is>
      </c>
      <c r="H45" s="53" t="n"/>
      <c r="I45" s="53" t="n"/>
    </row>
    <row r="46" ht="26" customHeight="1">
      <c r="B46" s="8" t="inlineStr">
        <is>
          <t>Cumplimiento del plan de mantenimiento preventivo</t>
        </is>
      </c>
      <c r="C46" s="8" t="inlineStr">
        <is>
          <t>OT ejecutadas / OT programadas</t>
        </is>
      </c>
      <c r="D46" s="53" t="n"/>
      <c r="E46" s="15" t="inlineStr">
        <is>
          <t>Mensual</t>
        </is>
      </c>
      <c r="F46" s="53" t="n"/>
      <c r="G46" s="8" t="inlineStr">
        <is>
          <t>≥ 95%</t>
        </is>
      </c>
      <c r="H46" s="53" t="n"/>
      <c r="I46" s="53" t="n"/>
    </row>
    <row r="47" ht="26" customHeight="1">
      <c r="B47" s="8" t="inlineStr">
        <is>
          <t>Cumplimiento del plan de inspecciones</t>
        </is>
      </c>
      <c r="C47" s="8" t="inlineStr">
        <is>
          <t>Inspecciones ejecutadas / programadas</t>
        </is>
      </c>
      <c r="D47" s="53" t="n"/>
      <c r="E47" s="15" t="inlineStr">
        <is>
          <t>Mensual</t>
        </is>
      </c>
      <c r="F47" s="53" t="n"/>
      <c r="G47" s="8" t="inlineStr">
        <is>
          <t>100% en riesgos Extremo y Alto</t>
        </is>
      </c>
      <c r="H47" s="53" t="n"/>
      <c r="I47" s="53" t="n"/>
    </row>
    <row r="48" ht="26" customHeight="1">
      <c r="B48" s="8" t="inlineStr">
        <is>
          <t>Exactitud de inventario (ERI)</t>
        </is>
      </c>
      <c r="C48" s="8" t="inlineStr">
        <is>
          <t>Ubicaciones correctas / ubicaciones contadas</t>
        </is>
      </c>
      <c r="D48" s="53" t="n"/>
      <c r="E48" s="15" t="inlineStr">
        <is>
          <t>Semanal</t>
        </is>
      </c>
      <c r="F48" s="53" t="n"/>
      <c r="G48" s="8" t="inlineStr">
        <is>
          <t>≥ 99%</t>
        </is>
      </c>
      <c r="H48" s="53" t="n"/>
      <c r="I48" s="53" t="n"/>
    </row>
    <row r="49" ht="26" customHeight="1">
      <c r="B49" s="8" t="inlineStr">
        <is>
          <t>Pérdida desconocida</t>
        </is>
      </c>
      <c r="C49" s="8" t="inlineStr">
        <is>
          <t>Valor de la pérdida / ventas o valor movilizado</t>
        </is>
      </c>
      <c r="D49" s="53" t="n"/>
      <c r="E49" s="15" t="inlineStr">
        <is>
          <t>Mensual</t>
        </is>
      </c>
      <c r="F49" s="53" t="n"/>
      <c r="G49" s="8" t="inlineStr">
        <is>
          <t>Según política; tendencia decreciente</t>
        </is>
      </c>
      <c r="H49" s="53" t="n"/>
      <c r="I49" s="53" t="n"/>
    </row>
    <row r="50" ht="26" customHeight="1">
      <c r="B50" s="8" t="inlineStr">
        <is>
          <t>Averías y merma operativa</t>
        </is>
      </c>
      <c r="C50" s="8" t="inlineStr">
        <is>
          <t>Valor de averías / valor movilizado</t>
        </is>
      </c>
      <c r="D50" s="53" t="n"/>
      <c r="E50" s="15" t="inlineStr">
        <is>
          <t>Semanal</t>
        </is>
      </c>
      <c r="F50" s="53" t="n"/>
      <c r="G50" s="8" t="inlineStr">
        <is>
          <t>Tendencia decreciente</t>
        </is>
      </c>
      <c r="H50" s="53" t="n"/>
      <c r="I50" s="53" t="n"/>
    </row>
    <row r="51" ht="20" customHeight="1">
      <c r="B51" s="8" t="inlineStr">
        <is>
          <t>Acciones vencidas del plan de acción</t>
        </is>
      </c>
      <c r="C51" s="8" t="inlineStr">
        <is>
          <t>N° de acciones vencidas</t>
        </is>
      </c>
      <c r="D51" s="53" t="n"/>
      <c r="E51" s="15" t="inlineStr">
        <is>
          <t>Mensual</t>
        </is>
      </c>
      <c r="F51" s="53" t="n"/>
      <c r="G51" s="8" t="inlineStr">
        <is>
          <t>0 en riesgos Extremo y Alto</t>
        </is>
      </c>
      <c r="H51" s="53" t="n"/>
      <c r="I51" s="53" t="n"/>
    </row>
    <row r="52" ht="26" customHeight="1">
      <c r="B52" s="8" t="inlineStr">
        <is>
          <t>Tiempo de permanencia del vehículo en el CEDI</t>
        </is>
      </c>
      <c r="C52" s="8" t="inlineStr">
        <is>
          <t>Horas promedio por vehículo</t>
        </is>
      </c>
      <c r="D52" s="53" t="n"/>
      <c r="E52" s="15" t="inlineStr">
        <is>
          <t>Semanal</t>
        </is>
      </c>
      <c r="F52" s="53" t="n"/>
      <c r="G52" s="8" t="inlineStr">
        <is>
          <t>Según acuerdo con transportistas</t>
        </is>
      </c>
      <c r="H52" s="53" t="n"/>
      <c r="I52" s="53" t="n"/>
    </row>
    <row r="53" ht="26" customHeight="1">
      <c r="B53" s="8" t="inlineStr">
        <is>
          <t>Rotación y ausentismo del personal de bodega</t>
        </is>
      </c>
      <c r="C53" s="8" t="inlineStr">
        <is>
          <t>%</t>
        </is>
      </c>
      <c r="D53" s="53" t="n"/>
      <c r="E53" s="15" t="inlineStr">
        <is>
          <t>Mensual</t>
        </is>
      </c>
      <c r="F53" s="53" t="n"/>
      <c r="G53" s="8" t="inlineStr">
        <is>
          <t>Vigilar picos: preceden a la accidentalidad</t>
        </is>
      </c>
      <c r="H53" s="53" t="n"/>
      <c r="I53" s="53" t="n"/>
    </row>
  </sheetData>
  <mergeCells count="51">
    <mergeCell ref="E43:F43"/>
    <mergeCell ref="E50:F50"/>
    <mergeCell ref="G53:I53"/>
    <mergeCell ref="C42:D42"/>
    <mergeCell ref="E42:F42"/>
    <mergeCell ref="C45:D45"/>
    <mergeCell ref="B20"/>
    <mergeCell ref="G49:I49"/>
    <mergeCell ref="E5:I5"/>
    <mergeCell ref="E52:F52"/>
    <mergeCell ref="E48:F48"/>
    <mergeCell ref="E8:I8"/>
    <mergeCell ref="E14:I14"/>
    <mergeCell ref="E44:F44"/>
    <mergeCell ref="E51:F51"/>
    <mergeCell ref="C47:D47"/>
    <mergeCell ref="E10:I10"/>
    <mergeCell ref="C41:D41"/>
    <mergeCell ref="G45:I45"/>
    <mergeCell ref="C50:D50"/>
    <mergeCell ref="C44:D44"/>
    <mergeCell ref="A22:I22"/>
    <mergeCell ref="A4:I4"/>
    <mergeCell ref="G51:I51"/>
    <mergeCell ref="E9:I9"/>
    <mergeCell ref="C43:D43"/>
    <mergeCell ref="G47:I47"/>
    <mergeCell ref="C46:D46"/>
    <mergeCell ref="G50:I50"/>
    <mergeCell ref="G44:I44"/>
    <mergeCell ref="E6:I6"/>
    <mergeCell ref="G41:I41"/>
    <mergeCell ref="E46:F46"/>
    <mergeCell ref="C51:D51"/>
    <mergeCell ref="A13:I13"/>
    <mergeCell ref="G46:I46"/>
    <mergeCell ref="E49:F49"/>
    <mergeCell ref="A40:I40"/>
    <mergeCell ref="E45:F45"/>
    <mergeCell ref="C52:D52"/>
    <mergeCell ref="C48:D48"/>
    <mergeCell ref="G52:I52"/>
    <mergeCell ref="G43:I43"/>
    <mergeCell ref="E7:I7"/>
    <mergeCell ref="G42:I42"/>
    <mergeCell ref="E41:F41"/>
    <mergeCell ref="G48:I48"/>
    <mergeCell ref="E53:F53"/>
    <mergeCell ref="C53:D53"/>
    <mergeCell ref="E47:F47"/>
    <mergeCell ref="C49:D49"/>
  </mergeCells>
  <conditionalFormatting sqref="C24:C38">
    <cfRule type="cellIs" priority="1" operator="greaterThan" dxfId="10">
      <formula>0</formula>
    </cfRule>
  </conditionalFormatting>
  <conditionalFormatting sqref="D24:D38">
    <cfRule type="cellIs" priority="2" operator="greaterThan" dxfId="6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D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8" customWidth="1" min="3" max="3"/>
    <col width="34" customWidth="1" min="4" max="4"/>
  </cols>
  <sheetData>
    <row r="1">
      <c r="B1" s="1" t="inlineStr">
        <is>
          <t>MARCO NORMATIVO Y ESTÁNDARES DE REFERENCIA</t>
        </is>
      </c>
    </row>
    <row r="2">
      <c r="B2" s="3" t="inlineStr">
        <is>
          <t>Referencias usadas para definir los puntos de verificación y las frecuencias. Valide siempre la versión y la vigencia en su jurisdicción; las normas colombianas se incluyen como ejemplo de legislación local.</t>
        </is>
      </c>
    </row>
    <row r="4" ht="22" customHeight="1">
      <c r="A4" s="4" t="inlineStr">
        <is>
          <t xml:space="preserve">  GESTIÓN DEL RIESGO Y SISTEMAS DE GESTIÓN</t>
        </is>
      </c>
    </row>
    <row r="5" ht="24" customHeight="1">
      <c r="A5" s="6" t="inlineStr">
        <is>
          <t>#</t>
        </is>
      </c>
      <c r="B5" s="6" t="inlineStr">
        <is>
          <t>Norma o estándar</t>
        </is>
      </c>
      <c r="C5" s="6" t="inlineStr">
        <is>
          <t>Qué aporta al checklist</t>
        </is>
      </c>
      <c r="D5" s="6" t="inlineStr">
        <is>
          <t>Dónde se aplica en este archivo</t>
        </is>
      </c>
    </row>
    <row r="6" ht="36" customHeight="1">
      <c r="A6" s="15" t="n">
        <v>1</v>
      </c>
      <c r="B6" s="7" t="inlineStr">
        <is>
          <t>ISO 31000</t>
        </is>
      </c>
      <c r="C6" s="8" t="inlineStr">
        <is>
          <t>Gestión del riesgo: principios y directrices. Base metodológica de la matriz (identificar, analizar, evaluar, tratar, monitorear).</t>
        </is>
      </c>
      <c r="D6" s="8" t="inlineStr">
        <is>
          <t>Toda la matriz</t>
        </is>
      </c>
    </row>
    <row r="7" ht="24" customHeight="1">
      <c r="A7" s="15" t="n">
        <v>2</v>
      </c>
      <c r="B7" s="7" t="inlineStr">
        <is>
          <t>ISO 45001 / Decreto 1072 de 2015</t>
        </is>
      </c>
      <c r="C7" s="8" t="inlineStr">
        <is>
          <t>Sistema de gestión de seguridad y salud en el trabajo.</t>
        </is>
      </c>
      <c r="D7" s="8" t="inlineStr">
        <is>
          <t>Riesgos de personas y SST</t>
        </is>
      </c>
    </row>
    <row r="8" ht="24" customHeight="1">
      <c r="A8" s="15" t="n">
        <v>3</v>
      </c>
      <c r="B8" s="7" t="inlineStr">
        <is>
          <t>Resolución 0312 de 2019 (Colombia)</t>
        </is>
      </c>
      <c r="C8" s="8" t="inlineStr">
        <is>
          <t>Estándares mínimos del SG-SST y autoevaluación anual obligatoria.</t>
        </is>
      </c>
      <c r="D8" s="8" t="inlineStr">
        <is>
          <t>Cumplimiento legal SST</t>
        </is>
      </c>
    </row>
    <row r="9" ht="24" customHeight="1">
      <c r="A9" s="15" t="n">
        <v>4</v>
      </c>
      <c r="B9" s="7" t="inlineStr">
        <is>
          <t>ISO 22301</t>
        </is>
      </c>
      <c r="C9" s="8" t="inlineStr">
        <is>
          <t>Continuidad del negocio: BIA, RTO/RPO, estrategias y pruebas del plan.</t>
        </is>
      </c>
      <c r="D9" s="8" t="inlineStr">
        <is>
          <t>Continuidad y escenarios catastróficos</t>
        </is>
      </c>
    </row>
    <row r="10" ht="24" customHeight="1">
      <c r="A10" s="15" t="n">
        <v>5</v>
      </c>
      <c r="B10" s="7" t="inlineStr">
        <is>
          <t>ISO 28000 / BASC / OEA / C-TPAT</t>
        </is>
      </c>
      <c r="C10" s="8" t="inlineStr">
        <is>
          <t>Seguridad de la cadena de suministro y protección de la carga.</t>
        </is>
      </c>
      <c r="D10" s="8" t="inlineStr">
        <is>
          <t>Seguridad física y exportación</t>
        </is>
      </c>
    </row>
    <row r="11" ht="24" customHeight="1">
      <c r="A11" s="15" t="n">
        <v>6</v>
      </c>
      <c r="B11" s="7" t="inlineStr">
        <is>
          <t>ISO 27001 / NIST CSF</t>
        </is>
      </c>
      <c r="C11" s="8" t="inlineStr">
        <is>
          <t>Seguridad de la información y ciberseguridad.</t>
        </is>
      </c>
      <c r="D11" s="8" t="inlineStr">
        <is>
          <t>Riesgos de TI y del WMS</t>
        </is>
      </c>
    </row>
    <row r="13" ht="22" customHeight="1">
      <c r="A13" s="4" t="inlineStr">
        <is>
          <t xml:space="preserve">  ESTANTERÍA Y ALMACENAMIENTO</t>
        </is>
      </c>
    </row>
    <row r="14" ht="24" customHeight="1">
      <c r="A14" s="6" t="inlineStr">
        <is>
          <t>#</t>
        </is>
      </c>
      <c r="B14" s="6" t="inlineStr">
        <is>
          <t>Norma o estándar</t>
        </is>
      </c>
      <c r="C14" s="6" t="inlineStr">
        <is>
          <t>Qué aporta al checklist</t>
        </is>
      </c>
      <c r="D14" s="6" t="inlineStr">
        <is>
          <t>Dónde se aplica en este archivo</t>
        </is>
      </c>
    </row>
    <row r="15" ht="48" customHeight="1">
      <c r="A15" s="15" t="n">
        <v>1</v>
      </c>
      <c r="B15" s="7" t="inlineStr">
        <is>
          <t>EN 15635</t>
        </is>
      </c>
      <c r="C15" s="8" t="inlineStr">
        <is>
          <t>Uso y mantenimiento del equipo de almacenamiento. Define el PRRS, la inspección visual periódica, la inspección experta anual y la clasificación de daños verde / ámbar / rojo.</t>
        </is>
      </c>
      <c r="D15" s="8" t="inlineStr">
        <is>
          <t>Todo el bloque B de la matriz</t>
        </is>
      </c>
    </row>
    <row r="16" ht="24" customHeight="1">
      <c r="A16" s="15" t="n">
        <v>2</v>
      </c>
      <c r="B16" s="7" t="inlineStr">
        <is>
          <t>EN 15512</t>
        </is>
      </c>
      <c r="C16" s="8" t="inlineStr">
        <is>
          <t>Diseño estructural de estanterías de paletización ajustable.</t>
        </is>
      </c>
      <c r="D16" s="8" t="inlineStr">
        <is>
          <t>Capacidad de carga y deflexión</t>
        </is>
      </c>
    </row>
    <row r="17" ht="24" customHeight="1">
      <c r="A17" s="15" t="n">
        <v>3</v>
      </c>
      <c r="B17" s="7" t="inlineStr">
        <is>
          <t>EN 15629</t>
        </is>
      </c>
      <c r="C17" s="8" t="inlineStr">
        <is>
          <t>Especificación del equipo de almacenamiento (montaje e instalación).</t>
        </is>
      </c>
      <c r="D17" s="8" t="inlineStr">
        <is>
          <t>Montaje y modificaciones</t>
        </is>
      </c>
    </row>
    <row r="18" ht="24" customHeight="1">
      <c r="A18" s="15" t="n">
        <v>4</v>
      </c>
      <c r="B18" s="7" t="inlineStr">
        <is>
          <t>EN 15620</t>
        </is>
      </c>
      <c r="C18" s="8" t="inlineStr">
        <is>
          <t>Tolerancias, deformaciones y holguras; requisitos de planitud del piso.</t>
        </is>
      </c>
      <c r="D18" s="8" t="inlineStr">
        <is>
          <t>Piso industrial y verticalidad</t>
        </is>
      </c>
    </row>
    <row r="19" ht="24" customHeight="1">
      <c r="A19" s="15" t="n">
        <v>5</v>
      </c>
      <c r="B19" s="7" t="inlineStr">
        <is>
          <t>RMI ANSI MH16.1 (EE. UU.)</t>
        </is>
      </c>
      <c r="C19" s="8" t="inlineStr">
        <is>
          <t>Diseño, prueba y uso de estanterías industriales, incluido el diseño sísmico.</t>
        </is>
      </c>
      <c r="D19" s="8" t="inlineStr">
        <is>
          <t>Diseño y anclaje sísmico</t>
        </is>
      </c>
    </row>
    <row r="20" ht="24" customHeight="1">
      <c r="A20" s="15" t="n">
        <v>6</v>
      </c>
      <c r="B20" s="7" t="inlineStr">
        <is>
          <t>FEM 10.2.08</t>
        </is>
      </c>
      <c r="C20" s="8" t="inlineStr">
        <is>
          <t>Diseño sísmico de sistemas de almacenamiento en estanterías.</t>
        </is>
      </c>
      <c r="D20" s="8" t="inlineStr">
        <is>
          <t>Riesgo de sismo en racks</t>
        </is>
      </c>
    </row>
    <row r="22" ht="22" customHeight="1">
      <c r="A22" s="4" t="inlineStr">
        <is>
          <t xml:space="preserve">  PROTECCIÓN CONTRA INCENDIO</t>
        </is>
      </c>
    </row>
    <row r="23" ht="24" customHeight="1">
      <c r="A23" s="6" t="inlineStr">
        <is>
          <t>#</t>
        </is>
      </c>
      <c r="B23" s="6" t="inlineStr">
        <is>
          <t>Norma o estándar</t>
        </is>
      </c>
      <c r="C23" s="6" t="inlineStr">
        <is>
          <t>Qué aporta al checklist</t>
        </is>
      </c>
      <c r="D23" s="6" t="inlineStr">
        <is>
          <t>Dónde se aplica en este archivo</t>
        </is>
      </c>
    </row>
    <row r="24" ht="36" customHeight="1">
      <c r="A24" s="15" t="n">
        <v>1</v>
      </c>
      <c r="B24" s="7" t="inlineStr">
        <is>
          <t>NFPA 13</t>
        </is>
      </c>
      <c r="C24" s="8" t="inlineStr">
        <is>
          <t>Instalación de sistemas de rociadores. Clasificación de mercancía, altura de almacenamiento y distancia libre bajo el rociador.</t>
        </is>
      </c>
      <c r="D24" s="8" t="inlineStr">
        <is>
          <t>Diseño de la protección</t>
        </is>
      </c>
    </row>
    <row r="25" ht="48" customHeight="1">
      <c r="A25" s="15" t="n">
        <v>2</v>
      </c>
      <c r="B25" s="7" t="inlineStr">
        <is>
          <t>NFPA 25</t>
        </is>
      </c>
      <c r="C25" s="8" t="inlineStr">
        <is>
          <t>Inspección, prueba y mantenimiento de sistemas de protección contra incendio a base de agua. Es la fuente de las frecuencias semanal, mensual, trimestral, anual y quinquenal.</t>
        </is>
      </c>
      <c r="D25" s="8" t="inlineStr">
        <is>
          <t>Frecuencias de la hoja de inspección</t>
        </is>
      </c>
    </row>
    <row r="26" ht="24" customHeight="1">
      <c r="A26" s="15" t="n">
        <v>3</v>
      </c>
      <c r="B26" s="7" t="inlineStr">
        <is>
          <t>NFPA 10 / NTC 2885</t>
        </is>
      </c>
      <c r="C26" s="8" t="inlineStr">
        <is>
          <t>Extintores portátiles: ubicación, inspección mensual, mantenimiento anual y prueba hidrostática.</t>
        </is>
      </c>
      <c r="D26" s="8" t="inlineStr">
        <is>
          <t>Extintores</t>
        </is>
      </c>
    </row>
    <row r="27" ht="24" customHeight="1">
      <c r="A27" s="15" t="n">
        <v>4</v>
      </c>
      <c r="B27" s="7" t="inlineStr">
        <is>
          <t>NFPA 72</t>
        </is>
      </c>
      <c r="C27" s="8" t="inlineStr">
        <is>
          <t>Sistemas de detección y alarma de incendio.</t>
        </is>
      </c>
      <c r="D27" s="8" t="inlineStr">
        <is>
          <t>Detección y notificación</t>
        </is>
      </c>
    </row>
    <row r="28" ht="24" customHeight="1">
      <c r="A28" s="15" t="n">
        <v>5</v>
      </c>
      <c r="B28" s="7" t="inlineStr">
        <is>
          <t>NFPA 30 / 30B</t>
        </is>
      </c>
      <c r="C28" s="8" t="inlineStr">
        <is>
          <t>Líquidos inflamables y combustibles; productos en aerosol.</t>
        </is>
      </c>
      <c r="D28" s="8" t="inlineStr">
        <is>
          <t>Almacenamiento de inflamables</t>
        </is>
      </c>
    </row>
    <row r="29" ht="24" customHeight="1">
      <c r="A29" s="15" t="n">
        <v>6</v>
      </c>
      <c r="B29" s="7" t="inlineStr">
        <is>
          <t>NFPA 51B</t>
        </is>
      </c>
      <c r="C29" s="8" t="inlineStr">
        <is>
          <t>Prevención de incendios en trabajos en caliente (permiso y vigía de fuego).</t>
        </is>
      </c>
      <c r="D29" s="8" t="inlineStr">
        <is>
          <t>Contratistas y mantenimiento</t>
        </is>
      </c>
    </row>
    <row r="30" ht="24" customHeight="1">
      <c r="A30" s="15" t="n">
        <v>7</v>
      </c>
      <c r="B30" s="7" t="inlineStr">
        <is>
          <t>NFPA 80 / NFPA 221</t>
        </is>
      </c>
      <c r="C30" s="8" t="inlineStr">
        <is>
          <t>Puertas cortafuego y muros cortafuego: sectorización.</t>
        </is>
      </c>
      <c r="D30" s="8" t="inlineStr">
        <is>
          <t>Compartimentación</t>
        </is>
      </c>
    </row>
    <row r="31" ht="24" customHeight="1">
      <c r="A31" s="15" t="n">
        <v>8</v>
      </c>
      <c r="B31" s="7" t="inlineStr">
        <is>
          <t>NFPA 101 / NTC 1700</t>
        </is>
      </c>
      <c r="C31" s="8" t="inlineStr">
        <is>
          <t>Seguridad humana: salidas, rutas de evacuación, señalización e iluminación de emergencia.</t>
        </is>
      </c>
      <c r="D31" s="8" t="inlineStr">
        <is>
          <t>Evacuación</t>
        </is>
      </c>
    </row>
    <row r="32" ht="24" customHeight="1">
      <c r="A32" s="15" t="n">
        <v>9</v>
      </c>
      <c r="B32" s="7" t="inlineStr">
        <is>
          <t>NFPA 230</t>
        </is>
      </c>
      <c r="C32" s="8" t="inlineStr">
        <is>
          <t>Protección contra incendio en almacenamiento (incluye estibas y almacenamiento en bloque).</t>
        </is>
      </c>
      <c r="D32" s="8" t="inlineStr">
        <is>
          <t>Carga de fuego</t>
        </is>
      </c>
    </row>
    <row r="33" ht="24" customHeight="1">
      <c r="A33" s="15" t="n">
        <v>10</v>
      </c>
      <c r="B33" s="7" t="inlineStr">
        <is>
          <t>NFPA 855</t>
        </is>
      </c>
      <c r="C33" s="8" t="inlineStr">
        <is>
          <t>Sistemas de almacenamiento de energía: baterías de ion-litio.</t>
        </is>
      </c>
      <c r="D33" s="8" t="inlineStr">
        <is>
          <t>Zona de carga de baterías</t>
        </is>
      </c>
    </row>
    <row r="34" ht="24" customHeight="1">
      <c r="A34" s="15" t="n">
        <v>11</v>
      </c>
      <c r="B34" s="7" t="inlineStr">
        <is>
          <t>NFPA 110 / NFPA 20</t>
        </is>
      </c>
      <c r="C34" s="8" t="inlineStr">
        <is>
          <t>Sistemas de energía de emergencia y bombas contra incendio.</t>
        </is>
      </c>
      <c r="D34" s="8" t="inlineStr">
        <is>
          <t>Respaldo y bombeo</t>
        </is>
      </c>
    </row>
    <row r="35" ht="24" customHeight="1">
      <c r="A35" s="15" t="n">
        <v>12</v>
      </c>
      <c r="B35" s="7" t="inlineStr">
        <is>
          <t>FM Global Data Sheets (1-54, 8-24, entre otras)</t>
        </is>
      </c>
      <c r="C35" s="8" t="inlineStr">
        <is>
          <t>Guías de la aseguradora sobre drenaje de cubierta y almacenamiento de estibas.</t>
        </is>
      </c>
      <c r="D35" s="8" t="inlineStr">
        <is>
          <t>Requisitos de aseguradoras</t>
        </is>
      </c>
    </row>
    <row r="37" ht="22" customHeight="1">
      <c r="A37" s="4" t="inlineStr">
        <is>
          <t xml:space="preserve">  EQUIPOS DE MANIPULACIÓN Y SST</t>
        </is>
      </c>
    </row>
    <row r="38" ht="24" customHeight="1">
      <c r="A38" s="6" t="inlineStr">
        <is>
          <t>#</t>
        </is>
      </c>
      <c r="B38" s="6" t="inlineStr">
        <is>
          <t>Norma o estándar</t>
        </is>
      </c>
      <c r="C38" s="6" t="inlineStr">
        <is>
          <t>Qué aporta al checklist</t>
        </is>
      </c>
      <c r="D38" s="6" t="inlineStr">
        <is>
          <t>Dónde se aplica en este archivo</t>
        </is>
      </c>
    </row>
    <row r="39" ht="36" customHeight="1">
      <c r="A39" s="15" t="n">
        <v>1</v>
      </c>
      <c r="B39" s="7" t="inlineStr">
        <is>
          <t>OSHA 1910.178</t>
        </is>
      </c>
      <c r="C39" s="8" t="inlineStr">
        <is>
          <t>Montacargas: inspección preoperacional por turno, certificación del operador y recertificación cada 3 años, aseguramiento de camiones en muelle.</t>
        </is>
      </c>
      <c r="D39" s="8" t="inlineStr">
        <is>
          <t>Bloque E de la matriz</t>
        </is>
      </c>
    </row>
    <row r="40" ht="24" customHeight="1">
      <c r="A40" s="15" t="n">
        <v>2</v>
      </c>
      <c r="B40" s="7" t="inlineStr">
        <is>
          <t>ANSI/ITSDF B56.1</t>
        </is>
      </c>
      <c r="C40" s="8" t="inlineStr">
        <is>
          <t>Requisitos de seguridad para equipos industriales motorizados.</t>
        </is>
      </c>
      <c r="D40" s="8" t="inlineStr">
        <is>
          <t>Operación de MHE</t>
        </is>
      </c>
    </row>
    <row r="41" ht="24" customHeight="1">
      <c r="A41" s="15" t="n">
        <v>3</v>
      </c>
      <c r="B41" s="7" t="inlineStr">
        <is>
          <t>ISO 5057</t>
        </is>
      </c>
      <c r="C41" s="8" t="inlineStr">
        <is>
          <t>Inspección y reparación de horquillas en servicio (desgaste máximo del 10%).</t>
        </is>
      </c>
      <c r="D41" s="8" t="inlineStr">
        <is>
          <t>Mantenimiento de MHE</t>
        </is>
      </c>
    </row>
    <row r="42" ht="24" customHeight="1">
      <c r="A42" s="15" t="n">
        <v>4</v>
      </c>
      <c r="B42" s="7" t="inlineStr">
        <is>
          <t>Resolución 1409 de 2012 (Colombia)</t>
        </is>
      </c>
      <c r="C42" s="8" t="inlineStr">
        <is>
          <t>Trabajo en alturas: permisos, certificación, puntos de anclaje y EPP.</t>
        </is>
      </c>
      <c r="D42" s="8" t="inlineStr">
        <is>
          <t>Alturas, orderpicker y mezanine</t>
        </is>
      </c>
    </row>
    <row r="43" ht="24" customHeight="1">
      <c r="A43" s="15" t="n">
        <v>5</v>
      </c>
      <c r="B43" s="7" t="inlineStr">
        <is>
          <t>ISO 11228 / ecuación NIOSH / REBA</t>
        </is>
      </c>
      <c r="C43" s="8" t="inlineStr">
        <is>
          <t>Manipulación manual de cargas y evaluación ergonómica.</t>
        </is>
      </c>
      <c r="D43" s="8" t="inlineStr">
        <is>
          <t>Riesgo ergonómico en picking</t>
        </is>
      </c>
    </row>
    <row r="44" ht="24" customHeight="1">
      <c r="A44" s="15" t="n">
        <v>6</v>
      </c>
      <c r="B44" s="7" t="inlineStr">
        <is>
          <t>Resolución 2400 de 1979 (Colombia)</t>
        </is>
      </c>
      <c r="C44" s="8" t="inlineStr">
        <is>
          <t>Disposiciones sobre vivienda, higiene y seguridad en establecimientos de trabajo.</t>
        </is>
      </c>
      <c r="D44" s="8" t="inlineStr">
        <is>
          <t>Condiciones locativas e higiene</t>
        </is>
      </c>
    </row>
    <row r="45" ht="24" customHeight="1">
      <c r="A45" s="15" t="n">
        <v>7</v>
      </c>
      <c r="B45" s="7" t="inlineStr">
        <is>
          <t>ANSI Z358.1</t>
        </is>
      </c>
      <c r="C45" s="8" t="inlineStr">
        <is>
          <t>Duchas de emergencia y lavaojos.</t>
        </is>
      </c>
      <c r="D45" s="8" t="inlineStr">
        <is>
          <t>Sala de baterías y químicos</t>
        </is>
      </c>
    </row>
    <row r="47" ht="22" customHeight="1">
      <c r="A47" s="4" t="inlineStr">
        <is>
          <t xml:space="preserve">  INSTALACIONES, PRODUCTO Y ENTORNO</t>
        </is>
      </c>
    </row>
    <row r="48" ht="24" customHeight="1">
      <c r="A48" s="6" t="inlineStr">
        <is>
          <t>#</t>
        </is>
      </c>
      <c r="B48" s="6" t="inlineStr">
        <is>
          <t>Norma o estándar</t>
        </is>
      </c>
      <c r="C48" s="6" t="inlineStr">
        <is>
          <t>Qué aporta al checklist</t>
        </is>
      </c>
      <c r="D48" s="6" t="inlineStr">
        <is>
          <t>Dónde se aplica en este archivo</t>
        </is>
      </c>
    </row>
    <row r="49" ht="24" customHeight="1">
      <c r="A49" s="15" t="n">
        <v>1</v>
      </c>
      <c r="B49" s="7" t="inlineStr">
        <is>
          <t>NSR-10 (Colombia) / ASCE 7 / IBC</t>
        </is>
      </c>
      <c r="C49" s="8" t="inlineStr">
        <is>
          <t>Norma de construcción sismo resistente: diseño estructural, cargas de cubierta y amenaza sísmica.</t>
        </is>
      </c>
      <c r="D49" s="8" t="inlineStr">
        <is>
          <t>Estructura y sismo</t>
        </is>
      </c>
    </row>
    <row r="50" ht="24" customHeight="1">
      <c r="A50" s="15" t="n">
        <v>2</v>
      </c>
      <c r="B50" s="7" t="inlineStr">
        <is>
          <t>RETIE / RETILAP / NTC 4552</t>
        </is>
      </c>
      <c r="C50" s="8" t="inlineStr">
        <is>
          <t>Reglamentos de instalaciones eléctricas, iluminación y protección contra rayos.</t>
        </is>
      </c>
      <c r="D50" s="8" t="inlineStr">
        <is>
          <t>Riesgo eléctrico e iluminación</t>
        </is>
      </c>
    </row>
    <row r="51" ht="24" customHeight="1">
      <c r="A51" s="15" t="n">
        <v>3</v>
      </c>
      <c r="B51" s="7" t="inlineStr">
        <is>
          <t>NFPA 70B / NETA</t>
        </is>
      </c>
      <c r="C51" s="8" t="inlineStr">
        <is>
          <t>Mantenimiento eléctrico preventivo y termografía.</t>
        </is>
      </c>
      <c r="D51" s="8" t="inlineStr">
        <is>
          <t>Tableros y subestación</t>
        </is>
      </c>
    </row>
    <row r="52" ht="24" customHeight="1">
      <c r="A52" s="15" t="n">
        <v>4</v>
      </c>
      <c r="B52" s="7" t="inlineStr">
        <is>
          <t>Resolución 2674 de 2013 (Colombia) / HACCP / BPM</t>
        </is>
      </c>
      <c r="C52" s="8" t="inlineStr">
        <is>
          <t>Buenas prácticas de manufactura y condiciones sanitarias de almacenamiento de alimentos.</t>
        </is>
      </c>
      <c r="D52" s="8" t="inlineStr">
        <is>
          <t>Producto, plagas y humedad</t>
        </is>
      </c>
    </row>
    <row r="53" ht="24" customHeight="1">
      <c r="A53" s="15" t="n">
        <v>5</v>
      </c>
      <c r="B53" s="7" t="inlineStr">
        <is>
          <t>Decreto 1609 de 2002 / NTC 1692 / SGA-GHS</t>
        </is>
      </c>
      <c r="C53" s="8" t="inlineStr">
        <is>
          <t>Transporte, rotulado y manejo de mercancías peligrosas.</t>
        </is>
      </c>
      <c r="D53" s="8" t="inlineStr">
        <is>
          <t>MERPEL</t>
        </is>
      </c>
    </row>
    <row r="54" ht="24" customHeight="1">
      <c r="A54" s="15" t="n">
        <v>6</v>
      </c>
      <c r="B54" s="7" t="inlineStr">
        <is>
          <t>Decreto 4741 de 2005 / ISO 14001</t>
        </is>
      </c>
      <c r="C54" s="8" t="inlineStr">
        <is>
          <t>Gestión de residuos peligrosos y sistema de gestión ambiental.</t>
        </is>
      </c>
      <c r="D54" s="8" t="inlineStr">
        <is>
          <t>Residuos y derrames</t>
        </is>
      </c>
    </row>
    <row r="55" ht="24" customHeight="1">
      <c r="A55" s="15" t="n">
        <v>7</v>
      </c>
      <c r="B55" s="7" t="inlineStr">
        <is>
          <t>ISO 17712</t>
        </is>
      </c>
      <c r="C55" s="8" t="inlineStr">
        <is>
          <t>Sellos de alta seguridad para contenedores.</t>
        </is>
      </c>
      <c r="D55" s="8" t="inlineStr">
        <is>
          <t>Trazabilidad de sellos</t>
        </is>
      </c>
    </row>
    <row r="56" ht="24" customHeight="1">
      <c r="A56" s="15" t="n">
        <v>8</v>
      </c>
      <c r="B56" s="7" t="inlineStr">
        <is>
          <t>IIAR / ASHRAE 15</t>
        </is>
      </c>
      <c r="C56" s="8" t="inlineStr">
        <is>
          <t>Seguridad en sistemas de refrigeración por amoníaco.</t>
        </is>
      </c>
      <c r="D56" s="8" t="inlineStr">
        <is>
          <t>Cuartos fríos industriales</t>
        </is>
      </c>
    </row>
  </sheetData>
  <mergeCells count="5">
    <mergeCell ref="A37:D37"/>
    <mergeCell ref="A22:D22"/>
    <mergeCell ref="A4:D4"/>
    <mergeCell ref="A47:D47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Área de Logística</dc:creator>
  <dc:title>Checklist de caracterización y calificación de riesgos - Centro de Distribución</dc:title>
  <dc:subject>Gestión de riesgos en centros de distribución</dc:subject>
  <dcterms:created xsi:type="dcterms:W3CDTF">2026-08-20T17:04:38Z</dcterms:created>
  <dcterms:modified xsi:type="dcterms:W3CDTF">2026-08-20T17:04:38Z</dcterms:modified>
</cp:coreProperties>
</file>