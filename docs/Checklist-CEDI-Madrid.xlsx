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Resumen" sheetId="2" state="visible" r:id="rId4"/>
    <sheet name="1 Checklist" sheetId="3" state="visible" r:id="rId5"/>
    <sheet name="2 Ocupación y piso" sheetId="4" state="visible" r:id="rId6"/>
    <sheet name="3 Ciclo picking" sheetId="5" state="visible" r:id="rId7"/>
    <sheet name="4 Conteo ciego" sheetId="6" state="visible" r:id="rId8"/>
    <sheet name="5 Reabastecimiento" sheetId="7" state="visible" r:id="rId9"/>
    <sheet name="6 Seguimiento pedidos" sheetId="8" state="visible" r:id="rId10"/>
    <sheet name="7 Prioridades" sheetId="9" state="visible" r:id="rId11"/>
    <sheet name="8 Muelle y cargue" sheetId="10" state="visible" r:id="rId12"/>
    <sheet name="9 Preguntas" sheetId="11" state="visible" r:id="rId13"/>
    <sheet name="10 Solicitud datos" sheetId="12" state="visible" r:id="rId14"/>
    <sheet name="11 Hallazgos" sheetId="13" state="visible" r:id="rId15"/>
    <sheet name="Glosario" sheetId="14" state="visible" r:id="rId16"/>
  </sheets>
  <definedNames>
    <definedName function="false" hidden="false" localSheetId="2" name="_xlnm.Print_Titles" vbProcedure="false">'1 Checklist'!$7:$7</definedName>
    <definedName function="false" hidden="false" localSheetId="11" name="_xlnm.Print_Titles" vbProcedure="false">'10 Solicitud datos'!$7:$7</definedName>
    <definedName function="false" hidden="false" localSheetId="12" name="_xlnm.Print_Titles" vbProcedure="false">'11 Hallazgos'!$8:$8</definedName>
    <definedName function="false" hidden="false" localSheetId="3" name="_xlnm.Print_Titles" vbProcedure="false">'2 Ocupación y piso'!$30:$30</definedName>
    <definedName function="false" hidden="false" localSheetId="4" name="_xlnm.Print_Titles" vbProcedure="false">'3 Ciclo picking'!$28:$28</definedName>
    <definedName function="false" hidden="false" localSheetId="5" name="_xlnm.Print_Titles" vbProcedure="false">'4 Conteo ciego'!$29:$29</definedName>
    <definedName function="false" hidden="false" localSheetId="6" name="_xlnm.Print_Titles" vbProcedure="false">'5 Reabastecimiento'!$30:$30</definedName>
    <definedName function="false" hidden="false" localSheetId="7" name="_xlnm.Print_Titles" vbProcedure="false">'6 Seguimiento pedidos'!$29:$29</definedName>
    <definedName function="false" hidden="false" localSheetId="8" name="_xlnm.Print_Titles" vbProcedure="false">'7 Prioridades'!$40:$40</definedName>
    <definedName function="false" hidden="false" localSheetId="9" name="_xlnm.Print_Titles" vbProcedure="false">'8 Muelle y cargue'!$32:$32</definedName>
    <definedName function="false" hidden="false" localSheetId="10" name="_xlnm.Print_Titles" vbProcedure="false">'9 Preguntas'!$18:$18</definedName>
    <definedName function="false" hidden="false" localSheetId="13" name="_xlnm.Print_Titles" vbProcedure="false">Glosario!$4:$4</definedName>
    <definedName function="false" hidden="false" localSheetId="1" name="_xlnm.Print_Titles" vbProcedure="false">Resumen!$4:$4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<sst xmlns="http://schemas.openxmlformats.org/spreadsheetml/2006/main" count="1034" uniqueCount="757">
  <si>
    <t xml:space="preserve">EVALUACIÓN OPERATIVA — CEDI MADRID</t>
  </si>
  <si>
    <t xml:space="preserve">Flujo del pedido: reabastecimiento · secuencia · alistamiento · cargue · despacho</t>
  </si>
  <si>
    <t xml:space="preserve">Este archivo sigue el pedido de punta a punta. No mide personas: mide cuánto tiempo el pedido avanza y cuánto pasa quieto. Cada hoja trae el procedimiento paso a paso, las reglas para no dudar al llenarla y las preguntas que debes hacer según el resultado. Diligencia solo las celdas amarillas; las grises se calculan solas y alimentan la hoja Resumen. Todo lo que se pide aquí lo puedes capturar tú mismo en un día: nada depende de que otra persona lleve un registro durante horas.</t>
  </si>
  <si>
    <t xml:space="preserve">  DATOS DE LA VISITA</t>
  </si>
  <si>
    <t xml:space="preserve">Centro de distribución</t>
  </si>
  <si>
    <t xml:space="preserve">CEDI Madrid</t>
  </si>
  <si>
    <t xml:space="preserve">Fecha de la visita</t>
  </si>
  <si>
    <t xml:space="preserve">Día de la semana</t>
  </si>
  <si>
    <t xml:space="preserve">Responsable de la evaluación</t>
  </si>
  <si>
    <t xml:space="preserve">Jefe del CEDI</t>
  </si>
  <si>
    <t xml:space="preserve">Turno observado</t>
  </si>
  <si>
    <t xml:space="preserve">Hora de corte de pedidos</t>
  </si>
  <si>
    <t xml:space="preserve">Hora de salida del último camión</t>
  </si>
  <si>
    <t xml:space="preserve">  RUTA DEL DÍA — QUÉ HACES Y DÓNDE LO REGISTRAS</t>
  </si>
  <si>
    <t xml:space="preserve">Momento</t>
  </si>
  <si>
    <t xml:space="preserve">Qué haces</t>
  </si>
  <si>
    <t xml:space="preserve">Dónde lo registras</t>
  </si>
  <si>
    <t xml:space="preserve">Al llegar</t>
  </si>
  <si>
    <t xml:space="preserve">Apertura de 10 minutos, de pie. Preguntar la hora de corte y el esquema de programación de salidas.</t>
  </si>
  <si>
    <t xml:space="preserve">1 · 7</t>
  </si>
  <si>
    <t xml:space="preserve">Primeros 30 min</t>
  </si>
  <si>
    <t xml:space="preserve">Barrido 1 de la cara de picking · etiquetar producto en piso · encargar el conteo ciego.</t>
  </si>
  <si>
    <t xml:space="preserve">5 · 2 · 4</t>
  </si>
  <si>
    <t xml:space="preserve">Escoger 20 pedidos del día y anotar su hora de liberación. Es el arranque del cronómetro.</t>
  </si>
  <si>
    <t xml:space="preserve">6 Seguimiento</t>
  </si>
  <si>
    <t xml:space="preserve">Mañana</t>
  </si>
  <si>
    <t xml:space="preserve">Recorrido a contracorriente y conteo de ocupación en 5 pasillos.</t>
  </si>
  <si>
    <t xml:space="preserve">2 Ocupación</t>
  </si>
  <si>
    <t xml:space="preserve">Cronometrar el ciclo completo de 4 operarios.</t>
  </si>
  <si>
    <t xml:space="preserve">3 Ciclo picking</t>
  </si>
  <si>
    <t xml:space="preserve">Media mañana</t>
  </si>
  <si>
    <t xml:space="preserve">Barrido 2 de la cara de picking. Revisar si las posiciones vacías del barrido 1 ya se repusieron.</t>
  </si>
  <si>
    <t xml:space="preserve">5 Reabastecimiento</t>
  </si>
  <si>
    <t xml:space="preserve">Todo el día</t>
  </si>
  <si>
    <t xml:space="preserve">Ir anotando las horas de los 20 pedidos: alistamiento, chequeo, cargue y salida.</t>
  </si>
  <si>
    <t xml:space="preserve">3 h antes del corte</t>
  </si>
  <si>
    <t xml:space="preserve">Barrido 3, el más importante. Observar chequeo, staging y cargue en el pico.</t>
  </si>
  <si>
    <t xml:space="preserve">5 · 8</t>
  </si>
  <si>
    <t xml:space="preserve">Pico y cierre</t>
  </si>
  <si>
    <t xml:space="preserve">Registrar los vehículos y si el pedido estaba listo cuando llegó cada uno.</t>
  </si>
  <si>
    <t xml:space="preserve">8 Muelle y cargue</t>
  </si>
  <si>
    <t xml:space="preserve">Al cierre</t>
  </si>
  <si>
    <t xml:space="preserve">Reconstruir la secuencia: en qué orden se alistó frente al orden en que debía salir.</t>
  </si>
  <si>
    <t xml:space="preserve">7 Prioridades</t>
  </si>
  <si>
    <t xml:space="preserve">Cruzar el conteo ciego contra la cantidad del sistema.</t>
  </si>
  <si>
    <t xml:space="preserve">4 Conteo ciego</t>
  </si>
  <si>
    <t xml:space="preserve">Últimos 20 min</t>
  </si>
  <si>
    <t xml:space="preserve">Devolver tres hechos con número y entregar la solicitud de datos firmada.</t>
  </si>
  <si>
    <t xml:space="preserve">11 · 10</t>
  </si>
  <si>
    <t xml:space="preserve">  CÓMO SE LEE ESTE ARCHIVO</t>
  </si>
  <si>
    <t xml:space="preserve">Celda amarilla</t>
  </si>
  <si>
    <t xml:space="preserve">La llenas tú en piso. Al hacer clic aparece una ayuda con qué escribir.</t>
  </si>
  <si>
    <t xml:space="preserve">Celda gris</t>
  </si>
  <si>
    <t xml:space="preserve">Se calcula sola. No la escribas.</t>
  </si>
  <si>
    <t xml:space="preserve">Fila EJEMPLO</t>
  </si>
  <si>
    <t xml:space="preserve">Muestra el formato esperado. No entra en los totales. Puedes dejarla.</t>
  </si>
  <si>
    <t xml:space="preserve">Bloque verde</t>
  </si>
  <si>
    <t xml:space="preserve">Las preguntas que debes hacer si ese indicador sale mal.</t>
  </si>
  <si>
    <t xml:space="preserve">Valores de referencia: los cortes usados en este archivo son referencias de industria para CEDI de consumo masivo con WMS y radiofrecuencia. Sirven para leer lo que midas hoy y para ordenar por dónde empezar; conviértelos en meta solo después de calibrarlos contra el histórico propio de Madrid.</t>
  </si>
  <si>
    <t xml:space="preserve">RESUMEN DEL DÍA</t>
  </si>
  <si>
    <t xml:space="preserve">Se llena solo desde las hojas de captura. Es lo que devuelves en la reunión de cierre: hechos con número, no opiniones.</t>
  </si>
  <si>
    <t xml:space="preserve">Indicador</t>
  </si>
  <si>
    <t xml:space="preserve">Resultado</t>
  </si>
  <si>
    <t xml:space="preserve">Referencia</t>
  </si>
  <si>
    <t xml:space="preserve">Estado</t>
  </si>
  <si>
    <t xml:space="preserve">Qué significa</t>
  </si>
  <si>
    <t xml:space="preserve">Primera acción si está en rojo</t>
  </si>
  <si>
    <t xml:space="preserve">Ocupación de posiciones</t>
  </si>
  <si>
    <t xml:space="preserve">80% – 85%</t>
  </si>
  <si>
    <t xml:space="preserve">Purgar inventario sin movimiento mayor a 180 días antes de cualquier otra iniciativa. El espacio que falta casi siempre ya está adentro.</t>
  </si>
  <si>
    <t xml:space="preserve">Capacidad fantasma (posiciones parciales)</t>
  </si>
  <si>
    <t xml:space="preserve">menos de 10%</t>
  </si>
  <si>
    <t xml:space="preserve">Programar consolidación de posiciones parciales el próximo fin de semana. No requiere inversión.</t>
  </si>
  <si>
    <t xml:space="preserve">Pallets fuera de posición</t>
  </si>
  <si>
    <t xml:space="preserve">0</t>
  </si>
  <si>
    <t xml:space="preserve">Fijar meta de dock-to-stock menor a 4 horas y regla de piso libre al cierre de turno, con verificación diaria.</t>
  </si>
  <si>
    <t xml:space="preserve">Desplazamiento sobre el ciclo de alistamiento</t>
  </si>
  <si>
    <t xml:space="preserve">menos de 40%</t>
  </si>
  <si>
    <t xml:space="preserve">Re-slotting de los 200 SKU de mayor rotación a la zona dorada. Se hace en un fin de semana.</t>
  </si>
  <si>
    <t xml:space="preserve">ERI por ubicación (conteo ciego)</t>
  </si>
  <si>
    <t xml:space="preserve">más de 97%</t>
  </si>
  <si>
    <t xml:space="preserve">Conteo cíclico diario en zona A y restringir quién puede ajustar inventario. Va antes que slotting y que chequeo.</t>
  </si>
  <si>
    <t xml:space="preserve">Posiciones de picking en riesgo antes del corte</t>
  </si>
  <si>
    <t xml:space="preserve">Pasar el reabastecimiento a ola antes del turno y anticipar la ola del pico dos horas antes del corte.</t>
  </si>
  <si>
    <t xml:space="preserve">Agotados por cada 100 líneas</t>
  </si>
  <si>
    <t xml:space="preserve">menos de 1</t>
  </si>
  <si>
    <t xml:space="preserve">Definir punto de reorden por posición según rotación, empezando por los SKU que se repiten en la hoja 5.</t>
  </si>
  <si>
    <t xml:space="preserve">Alistado esperando cargue (min)</t>
  </si>
  <si>
    <t xml:space="preserve">menos de 60 min</t>
  </si>
  <si>
    <t xml:space="preserve">Alistar contra la hora de cita del vehículo y no contra el corte. Publicar la programación de citas en alistamiento.</t>
  </si>
  <si>
    <t xml:space="preserve">% del ciclo del pedido en espera</t>
  </si>
  <si>
    <t xml:space="preserve">Atacar la espera antes que la velocidad: sincronizar liberación, alistamiento y citas de vehículos. Rinde más y no cuesta.</t>
  </si>
  <si>
    <t xml:space="preserve">Pedidos alistados fuera de secuencia</t>
  </si>
  <si>
    <t xml:space="preserve">Escribir y publicar la regla de priorización, y dar a alistamiento la programación de citas actualizada cada mañana.</t>
  </si>
  <si>
    <t xml:space="preserve">Permanencia promedio en muelle (min)</t>
  </si>
  <si>
    <t xml:space="preserve">menos de 90 min</t>
  </si>
  <si>
    <t xml:space="preserve">Sistema de citas con ventanas reales y secuencia de cargue por orden inverso de entrega.</t>
  </si>
  <si>
    <t xml:space="preserve">Vehículos que llegaron sin el pedido listo</t>
  </si>
  <si>
    <t xml:space="preserve">0%</t>
  </si>
  <si>
    <t xml:space="preserve">Fijar que un pedido solo se libera a muelle cuando está chequeado, y alistar por hora de cita.</t>
  </si>
  <si>
    <t xml:space="preserve">Avance del checklist del día</t>
  </si>
  <si>
    <t xml:space="preserve">100%</t>
  </si>
  <si>
    <t xml:space="preserve">Revisar la hoja 1 antes de irte: las acciones de cierre son las que sostienen la próxima visita.</t>
  </si>
  <si>
    <t xml:space="preserve">Solicitud de datos entregada y recibida</t>
  </si>
  <si>
    <t xml:space="preserve">Dejar la solicitud firmada con nombre y fecha antes de salir. Sin nombre no hay compromiso.</t>
  </si>
  <si>
    <t xml:space="preserve">CÓMO SE USA — Los estados se calculan contra referencias de industria, no contra la meta de Madrid: sirven para ordenar por dónde empezar. La precedencia que conviene respetar es: exactitud de inventario → espacio → reabastecimiento → secuencia de alistamiento → cargue y muelle. Y una advertencia de lectura: si el pedido pasa quieto la mayor parte de su ciclo, cualquier plan que empiece por «que la gente alistе más rápido» va a rendir poco, porque no es ahí donde se está yendo el tiempo.</t>
  </si>
  <si>
    <t xml:space="preserve">CHECKLIST DEL DÍA</t>
  </si>
  <si>
    <t xml:space="preserve">Las acciones en el orden en que se hacen. Marca Sí en «Hecho»; el avance se calcula solo y aparece en Resumen.</t>
  </si>
  <si>
    <t xml:space="preserve">AVANCE DEL CHECKLIST</t>
  </si>
  <si>
    <t xml:space="preserve">#</t>
  </si>
  <si>
    <t xml:space="preserve">Bloque</t>
  </si>
  <si>
    <t xml:space="preserve">Acción</t>
  </si>
  <si>
    <t xml:space="preserve">Cómo se hace</t>
  </si>
  <si>
    <t xml:space="preserve">Hecho</t>
  </si>
  <si>
    <t xml:space="preserve">Hora</t>
  </si>
  <si>
    <t xml:space="preserve">Responsable</t>
  </si>
  <si>
    <t xml:space="preserve">Observación</t>
  </si>
  <si>
    <t xml:space="preserve">Antes de bajarte</t>
  </si>
  <si>
    <t xml:space="preserve">Reunión de apertura de máximo 10 minutos, de pie.</t>
  </si>
  <si>
    <t xml:space="preserve">Si te sientas dos horas a ver presentaciones, cuando salgas el CEDI ya se organizó.</t>
  </si>
  <si>
    <t xml:space="preserve">Preguntar la hora de corte y cómo se programan las salidas.</t>
  </si>
  <si>
    <t xml:space="preserve">¿Citas por ruta, corte único o mixto? Define contra qué se mide la secuencia. Anótalo en la hoja 7.</t>
  </si>
  <si>
    <t xml:space="preserve">Anunciar: se mide el proceso, no a las personas.</t>
  </si>
  <si>
    <t xml:space="preserve">Dilo en el primer minuto y repítelo. Si creen que vienes a sancionar, los datos se dañan hoy.</t>
  </si>
  <si>
    <t xml:space="preserve">Verificar EPP: botas, chaleco, casco si aplica.</t>
  </si>
  <si>
    <t xml:space="preserve">Llegar sin EPP cuesta 40 minutos de espera y credibilidad.</t>
  </si>
  <si>
    <t xml:space="preserve">Barrido 1 de la cara de picking.</t>
  </si>
  <si>
    <t xml:space="preserve">Hoja 5. Recorre las posiciones de picking y clasifica cada una: vacía, en riesgo u OK.</t>
  </si>
  <si>
    <t xml:space="preserve">Escoger 20 pedidos del día y anotar su hora de liberación.</t>
  </si>
  <si>
    <t xml:space="preserve">Hoja 6. Escoge de rutas distintas y de horas distintas, no los que te sugieran.</t>
  </si>
  <si>
    <t xml:space="preserve">Etiquetar con fecha y hora el producto que esté fuera de posición.</t>
  </si>
  <si>
    <t xml:space="preserve">Hoja 2, bloque B. Cinta y marcador. Foto del conjunto con la hora visible.</t>
  </si>
  <si>
    <t xml:space="preserve">Encargar el conteo ciego de 100 ubicaciones.</t>
  </si>
  <si>
    <t xml:space="preserve">Hoja 4. Las eliges tú del listado. Quien cuenta no puede ver la cantidad del sistema.</t>
  </si>
  <si>
    <t xml:space="preserve">Recorrido</t>
  </si>
  <si>
    <t xml:space="preserve">Recorrer a contracorriente: del muelle de salida hacia recepción.</t>
  </si>
  <si>
    <t xml:space="preserve">Ves el flujo como lo sufre el cliente y cada atasco te lleva a su causa aguas arriba.</t>
  </si>
  <si>
    <t xml:space="preserve">Mediciones</t>
  </si>
  <si>
    <t xml:space="preserve">Contar ocupación en 5 pasillos elegidos al azar.</t>
  </si>
  <si>
    <t xml:space="preserve">Hoja 2. Trae las reglas para clasificar ocupada, parcial y vacía.</t>
  </si>
  <si>
    <t xml:space="preserve">Hoja 3. Dos veteranos y dos con menos de 90 días.</t>
  </si>
  <si>
    <t xml:space="preserve">Barrido 2 a media mañana y revisar si repusieron las vacías del barrido 1.</t>
  </si>
  <si>
    <t xml:space="preserve">Hoja 5. Lo que siga vacío es la tasa de no-respuesta del reabastecimiento.</t>
  </si>
  <si>
    <t xml:space="preserve">Ir anotando las horas de los 20 pedidos a lo largo del día.</t>
  </si>
  <si>
    <t xml:space="preserve">Hoja 6. Alistamiento, chequeo, cargue y salida. Es el dato central del día.</t>
  </si>
  <si>
    <t xml:space="preserve">Pico</t>
  </si>
  <si>
    <t xml:space="preserve">Barrido 3, tres horas antes del corte. Es el más importante.</t>
  </si>
  <si>
    <t xml:space="preserve">Hoja 5. Es el momento de mayor demanda sobre el reabastecimiento.</t>
  </si>
  <si>
    <t xml:space="preserve">Observar staging y cargue: qué espera y por qué.</t>
  </si>
  <si>
    <t xml:space="preserve">Hoja 8. Anota si el pedido estaba listo cuando llegó cada vehículo.</t>
  </si>
  <si>
    <t xml:space="preserve">Reconstruir la secuencia de alistamiento frente al orden de salida.</t>
  </si>
  <si>
    <t xml:space="preserve">Hoja 7. Alistar fuera de secuencia llena el staging y hace esperar a los camiones.</t>
  </si>
  <si>
    <t xml:space="preserve">Hoja 4. Hasta ahora quien contó no debió ver esa cifra.</t>
  </si>
  <si>
    <t xml:space="preserve">Escribir los hallazgos del día como hechos con número.</t>
  </si>
  <si>
    <t xml:space="preserve">Hoja 11. Un hallazgo es un hecho con número, no una opinión.</t>
  </si>
  <si>
    <t xml:space="preserve">Entregar la solicitud de datos firmada, con responsable y fecha.</t>
  </si>
  <si>
    <t xml:space="preserve">Hoja 10. Si te vas sin dejarla, pierdes una semana esperando.</t>
  </si>
  <si>
    <t xml:space="preserve">Acordar una sola acción que empieza mañana y fijar la segunda visita.</t>
  </si>
  <si>
    <t xml:space="preserve">Una, no diez. Vuelve en otro día de la semana: el perfil de carga cambia.</t>
  </si>
  <si>
    <t xml:space="preserve">2 · OCUPACIÓN DE POSICIONES Y PRODUCTO EN PISO</t>
  </si>
  <si>
    <t xml:space="preserve">Cuánto espacio queda de verdad, cuánto está bloqueado sin almacenar nada y cuánto producto está fuera de posición.</t>
  </si>
  <si>
    <t xml:space="preserve">  CÓMO SE HACE</t>
  </si>
  <si>
    <t xml:space="preserve">OBJETIVO</t>
  </si>
  <si>
    <t xml:space="preserve">Saber si el CEDI está en congestión, cuánta capacidad está desperdiciada en posiciones a medio llenar, y cuánto producto está en el piso sin ubicación.</t>
  </si>
  <si>
    <t xml:space="preserve">QUIÉN LO HACE</t>
  </si>
  <si>
    <t xml:space="preserve">Tú solo. No necesitas que te acompañen — y es mejor que no lo hagan.</t>
  </si>
  <si>
    <t xml:space="preserve">CUÁNTO DEMORA</t>
  </si>
  <si>
    <t xml:space="preserve">30 minutos el conteo de pasillos, 40 minutos el etiquetado de piso.</t>
  </si>
  <si>
    <t xml:space="preserve">QUÉ NECESITAS</t>
  </si>
  <si>
    <t xml:space="preserve">El listado o plano de pasillos, cinta de enmascarar, marcador grueso y la cámara del celular.</t>
  </si>
  <si>
    <t xml:space="preserve">  PASO A PASO</t>
  </si>
  <si>
    <t xml:space="preserve">1</t>
  </si>
  <si>
    <t xml:space="preserve">BLOQUE A. Pide el listado de pasillos y elige 5 al azar tú mismo: el primero, el de un tercio, el de la mitad, el de dos tercios y el último. No dejes que te sugieran cuáles ver.</t>
  </si>
  <si>
    <t xml:space="preserve">2</t>
  </si>
  <si>
    <t xml:space="preserve">Recorre cada pasillo contando las posiciones de un lado, módulo por módulo, de piso a techo. Clasifica cada una en ocupada, parcial o vacía.</t>
  </si>
  <si>
    <t xml:space="preserve">3</t>
  </si>
  <si>
    <t xml:space="preserve">Repite del otro lado y suma. Registra el pasillo completo en una sola fila.</t>
  </si>
  <si>
    <t xml:space="preserve">4</t>
  </si>
  <si>
    <t xml:space="preserve">BLOQUE B. Recorre las zonas donde haya producto fuera de posición: recepción, staging, pasillos de maniobra, devoluciones, averías, cuarentena.</t>
  </si>
  <si>
    <t xml:space="preserve">5</t>
  </si>
  <si>
    <t xml:space="preserve">Pega una etiqueta con FECHA Y HORA en cada pallet fuera de posición. No te saltes ninguno. Cuenta por zona y toma foto del conjunto con la hora visible.</t>
  </si>
  <si>
    <t xml:space="preserve">6</t>
  </si>
  <si>
    <t xml:space="preserve">VUELVE A LAS 48 HORAS, o pide foto de las mismas zonas, y marca cuáles siguen ahí con la etiqueta original. Eso es backlog real, ya no es «producto en tránsito».</t>
  </si>
  <si>
    <t xml:space="preserve">  REGLAS PARA NO DUDAR AL LLENAR</t>
  </si>
  <si>
    <t xml:space="preserve">▪</t>
  </si>
  <si>
    <t xml:space="preserve">OCUPADA: el hueco está lleno y no cabe otro pallet. Un pallet sobredimensionado que invade dos posiciones cuenta como 2 ocupadas.</t>
  </si>
  <si>
    <t xml:space="preserve">PARCIAL: hay producto pero sobra espacio útil — media estiba, dos cajas sueltas, un pallet bajo en un hueco alto. Regla práctica: si cabría más y no cabe por cómo está acomodado, es parcial.</t>
  </si>
  <si>
    <t xml:space="preserve">VACÍA: no hay nada. Una posición reservada en el sistema pero físicamente vacía cuenta como vacía.</t>
  </si>
  <si>
    <t xml:space="preserve">FUERA DE POSICIÓN: todo producto que no está en una ubicación del sistema. Incluye lo que esté en pasillos de maniobra aunque te digan «es que ya se va»: precisamente eso es lo que estás midiendo.</t>
  </si>
  <si>
    <t xml:space="preserve">No cuentes como fuera de posición el producto en un muelle con vehículo cargando: eso sí es tránsito real.</t>
  </si>
  <si>
    <t xml:space="preserve">  SI EL RESULTADO SALE MAL, PREGUNTA ESTO</t>
  </si>
  <si>
    <t xml:space="preserve">?</t>
  </si>
  <si>
    <t xml:space="preserve">¿Cuántas posiciones habilitadas hay y cuántas dice el sistema que están ocupadas hoy? La brecha contra tu conteo es error del sistema.</t>
  </si>
  <si>
    <t xml:space="preserve">¿Cuántas posiciones tienen producto sin salidas en los últimos 90 días?</t>
  </si>
  <si>
    <t xml:space="preserve">¿Cuál es el dock-to-stock objetivo y cuál fue el real de la semana pasada?</t>
  </si>
  <si>
    <t xml:space="preserve">¿Existe una regla de piso libre al cierre del turno y quién la verifica?</t>
  </si>
  <si>
    <t xml:space="preserve">¿Qué decisión de compra o de promoción explica el inventario que entró en las últimas 13 semanas?</t>
  </si>
  <si>
    <t xml:space="preserve">  BLOQUE A — OCUPACIÓN DE POSICIONES</t>
  </si>
  <si>
    <t xml:space="preserve">Pasillo / zona</t>
  </si>
  <si>
    <t xml:space="preserve">Ocupadas</t>
  </si>
  <si>
    <t xml:space="preserve">Parciales</t>
  </si>
  <si>
    <t xml:space="preserve">Vacías</t>
  </si>
  <si>
    <t xml:space="preserve">Total posiciones</t>
  </si>
  <si>
    <t xml:space="preserve">% Ocupación</t>
  </si>
  <si>
    <t xml:space="preserve">% Capacidad fantasma</t>
  </si>
  <si>
    <t xml:space="preserve">EJEMPLO ▸ Pasillo 12</t>
  </si>
  <si>
    <t xml:space="preserve">3 posiciones con rack doblado</t>
  </si>
  <si>
    <t xml:space="preserve">TOTAL DE LA MUESTRA</t>
  </si>
  <si>
    <t xml:space="preserve">  BLOQUE B — PRODUCTO FUERA DE POSICIÓN (PRUEBA DE LA ETIQUETA DE FECHA)</t>
  </si>
  <si>
    <t xml:space="preserve">Zona</t>
  </si>
  <si>
    <t xml:space="preserve">N.º de pallets etiquetados</t>
  </si>
  <si>
    <t xml:space="preserve">Producto / descripción</t>
  </si>
  <si>
    <t xml:space="preserve">Fecha de la etiqueta</t>
  </si>
  <si>
    <t xml:space="preserve">¿Sigue ahí a las 48 h?</t>
  </si>
  <si>
    <t xml:space="preserve">EJ ▸ Recepción</t>
  </si>
  <si>
    <t xml:space="preserve">Importado sin ubicar, 3 referencias</t>
  </si>
  <si>
    <t xml:space="preserve">24/08/2026</t>
  </si>
  <si>
    <t xml:space="preserve">Sí</t>
  </si>
  <si>
    <t xml:space="preserve">Llegó el contenedor el viernes</t>
  </si>
  <si>
    <t xml:space="preserve">Recepción</t>
  </si>
  <si>
    <t xml:space="preserve">Staging de despacho</t>
  </si>
  <si>
    <t xml:space="preserve">Pasillos de maniobra</t>
  </si>
  <si>
    <t xml:space="preserve">Devoluciones</t>
  </si>
  <si>
    <t xml:space="preserve">Averías</t>
  </si>
  <si>
    <t xml:space="preserve">Cuarentena / pendiente de calidad</t>
  </si>
  <si>
    <t xml:space="preserve">Cross-dock</t>
  </si>
  <si>
    <t xml:space="preserve">Otro</t>
  </si>
  <si>
    <t xml:space="preserve">TOTAL PALLETS FUERA DE POSICIÓN</t>
  </si>
  <si>
    <t xml:space="preserve">CÓMO SE LEE — Por encima de 85% de ocupación cada punto cuesta cada vez más; por encima de 90% la operación entra en congestión y cualquier medición de productividad que tomes queda contaminada. La capacidad fantasma es espacio que el sistema ve ocupado y no almacena nada: se recupera consolidando, sin comprar un metro. Y lo que siga en piso a las 48 horas con la etiqueta original es backlog real, contable y fotografiable.</t>
  </si>
  <si>
    <t xml:space="preserve">3 · CICLO DE ALISTAMIENTO</t>
  </si>
  <si>
    <t xml:space="preserve">Si el tiempo se va caminando o alistando. Aquí también sale el denominador de los agotados de picking.</t>
  </si>
  <si>
    <t xml:space="preserve">Separar el tiempo que agrega valor (tomar producto) del que solo transporta al operario, y contar cuántas veces se topa con una posición vacía.</t>
  </si>
  <si>
    <t xml:space="preserve">Tú, con cronómetro. Avisa al supervisor antes de empezar.</t>
  </si>
  <si>
    <t xml:space="preserve">2 horas: unos 30 minutos por operario.</t>
  </si>
  <si>
    <t xml:space="preserve">Cronómetro (el del celular sirve) y esta hoja.</t>
  </si>
  <si>
    <t xml:space="preserve">Escoge 4 operarios: dos veteranos y dos con menos de 90 días. Pregúntale a cada uno cuánto lleva en el cargo.</t>
  </si>
  <si>
    <t xml:space="preserve">Dile: «voy a acompañarlo, trabaje normal, no estoy calificando a nadie». Camina detrás, nunca al lado ni adelante.</t>
  </si>
  <si>
    <t xml:space="preserve">Arranca el cronómetro cuando reciba la orden de alistamiento y párala cuando entregue el pedido terminado.</t>
  </si>
  <si>
    <t xml:space="preserve">Lleva dos tiempos por separado: CAMINANDO mientras se desplaza sin manipular, y TOMANDO mientras toma, cuenta, empaca, rotula o escanea.</t>
  </si>
  <si>
    <t xml:space="preserve">Cuenta las líneas del pedido y marca una raya por cada incidencia. La columna «posición vacía» es la que alimenta el indicador de agotados por 100 líneas.</t>
  </si>
  <si>
    <t xml:space="preserve">Observa una cosa más y anótala: si lee el scanner en cada línea o se lo salta.</t>
  </si>
  <si>
    <t xml:space="preserve">El viaje de regreso al punto de partida CUENTA como caminando.</t>
  </si>
  <si>
    <t xml:space="preserve">Buscar parado frente a la posición cuenta como TOMANDO (es una toma fallida). Si se va a otra posición a buscar, cuenta como CAMINANDO.</t>
  </si>
  <si>
    <t xml:space="preserve">Si lo interrumpen (montacargas, supervisor, llamada), pausa el cronómetro y anótalo en Observación.</t>
  </si>
  <si>
    <t xml:space="preserve">«No encontró» es que el producto no estaba donde el sistema decía. «Posición vacía» es que estaba agotada en picking. No son lo mismo y no se mezclan.</t>
  </si>
  <si>
    <t xml:space="preserve">Un solo ciclo por operario basta. Cuatro operarios distintos valen más que cuatro ciclos del mismo.</t>
  </si>
  <si>
    <t xml:space="preserve">¿Cuándo fue el último re-slotting y con qué criterio se hizo?</t>
  </si>
  <si>
    <t xml:space="preserve">¿Los 50 SKU de mayor rotación están en la zona dorada, entre cintura y hombro y cerca del muelle?</t>
  </si>
  <si>
    <t xml:space="preserve">¿El recorrido de alistamiento lo define el sistema o lo escoge el operario?</t>
  </si>
  <si>
    <t xml:space="preserve">¿Existe un estándar de líneas por hora y el operario lo conoce?</t>
  </si>
  <si>
    <t xml:space="preserve">Operario</t>
  </si>
  <si>
    <t xml:space="preserve">Antigüedad</t>
  </si>
  <si>
    <t xml:space="preserve">Seg. caminando</t>
  </si>
  <si>
    <t xml:space="preserve">Seg. tomando</t>
  </si>
  <si>
    <t xml:space="preserve">Ciclo total (s)</t>
  </si>
  <si>
    <t xml:space="preserve">% desplazamiento</t>
  </si>
  <si>
    <t xml:space="preserve">Líneas</t>
  </si>
  <si>
    <t xml:space="preserve">Seg. por línea</t>
  </si>
  <si>
    <t xml:space="preserve">No encontró</t>
  </si>
  <si>
    <t xml:space="preserve">Posición vacía</t>
  </si>
  <si>
    <t xml:space="preserve">Devolvió</t>
  </si>
  <si>
    <t xml:space="preserve">Preguntó</t>
  </si>
  <si>
    <t xml:space="preserve">¿Escaneó todo?</t>
  </si>
  <si>
    <t xml:space="preserve">EJEMPLO ▸ J. Ramírez</t>
  </si>
  <si>
    <t xml:space="preserve">4 años</t>
  </si>
  <si>
    <t xml:space="preserve">No</t>
  </si>
  <si>
    <t xml:space="preserve">Interrumpido 40 s por montacargas</t>
  </si>
  <si>
    <t xml:space="preserve">TOTAL / PROMEDIO PONDERADO</t>
  </si>
  <si>
    <t xml:space="preserve">CÓMO SE LEE — Si caminar pasa del 50% del ciclo, el problema es el slotting y no la gente: correr más rápido no arregla una ruta mal diseñada. La columna «posición vacía» se cruza con «líneas» en la hoja 5 para dar agotados por cada 100 líneas, que es el indicador con denominador. Si el operario se salta el escaneo, ningún control posterior sostiene la calidad.</t>
  </si>
  <si>
    <t xml:space="preserve">4 · CONTEO CIEGO — EXACTITUD DE INVENTARIO (ERI)</t>
  </si>
  <si>
    <t xml:space="preserve">Si el sistema dice la verdad sobre dónde está el producto y cuánto hay. Decide el orden de todo el plan.</t>
  </si>
  <si>
    <t xml:space="preserve">Medir qué porcentaje de las ubicaciones tiene exactamente lo que el sistema dice que tiene.</t>
  </si>
  <si>
    <t xml:space="preserve">Un auxiliar que NO sea el responsable de esa zona, acompañado por ti al inicio.</t>
  </si>
  <si>
    <t xml:space="preserve">2 a 3 horas de conteo. El resultado se cierra al final del día.</t>
  </si>
  <si>
    <t xml:space="preserve">Listado de ubicaciones ocupadas SIN la columna de cantidad, y una planilla en blanco.</t>
  </si>
  <si>
    <t xml:space="preserve">Pide el listado de ubicaciones ocupadas. Elige tú 100 al azar — por ejemplo, una de cada N. No aceptes «le preparo una zona».</t>
  </si>
  <si>
    <t xml:space="preserve">Imprime la lista SIN la columna de cantidad. Eso es lo que hace ciego el conteo: quien cuenta no sabe qué debería encontrar.</t>
  </si>
  <si>
    <t xml:space="preserve">El auxiliar recorre y anota lo que ve, ubicación por ubicación, sin consultar el sistema ni preguntarle a nadie.</t>
  </si>
  <si>
    <t xml:space="preserve">Pasa lo contado a la columna «Cant. contada» de esta hoja.</t>
  </si>
  <si>
    <t xml:space="preserve">AL FINAL DEL DÍA pide al sistema la cantidad de esas 100 ubicaciones y llénala en «Cant. sistema». El ERI se calcula solo.</t>
  </si>
  <si>
    <t xml:space="preserve">Es binario: la ubicación está exacta o no lo está. Una sola unidad de diferencia ya es NO.</t>
  </si>
  <si>
    <t xml:space="preserve">Si en la ubicación hay un SKU distinto al que dice el sistema, es NO aunque la cantidad coincida.</t>
  </si>
  <si>
    <t xml:space="preserve">Si la ubicación está vacía y el sistema dice que hay producto, escribe 0 en «Cant. contada». Cuenta como NO.</t>
  </si>
  <si>
    <t xml:space="preserve">No promedies en pesos ni en valor: faltantes y sobrantes se compensan y siempre se ve bien.</t>
  </si>
  <si>
    <t xml:space="preserve">Si el auxiliar ve la cantidad del sistema antes de contar, el conteo se invalida. Repítelo con otras ubicaciones.</t>
  </si>
  <si>
    <t xml:space="preserve">¿Cada cuánto hacen conteos cíclicos, quién los hace y qué se hace con el resultado?</t>
  </si>
  <si>
    <t xml:space="preserve">¿Qué pasa cuando un operario encuentra una diferencia? ¿La puede reportar sin que lo sancionen?</t>
  </si>
  <si>
    <t xml:space="preserve">¿Quién tiene permiso para ajustar inventario en el sistema y con qué autorización?</t>
  </si>
  <si>
    <t xml:space="preserve">¿Cuántos ajustes de inventario se hicieron el mes pasado y por qué causal?</t>
  </si>
  <si>
    <t xml:space="preserve">Ubicaciones contadas</t>
  </si>
  <si>
    <t xml:space="preserve">Exactas</t>
  </si>
  <si>
    <t xml:space="preserve">ERI por ubicación</t>
  </si>
  <si>
    <t xml:space="preserve">Ubicación</t>
  </si>
  <si>
    <t xml:space="preserve">SKU</t>
  </si>
  <si>
    <t xml:space="preserve">Cant. contada</t>
  </si>
  <si>
    <t xml:space="preserve">Cant. sistema</t>
  </si>
  <si>
    <t xml:space="preserve">¿Exacta?</t>
  </si>
  <si>
    <t xml:space="preserve">Diferencia</t>
  </si>
  <si>
    <t xml:space="preserve">EJ</t>
  </si>
  <si>
    <t xml:space="preserve">A-12-03-B</t>
  </si>
  <si>
    <t xml:space="preserve">SKU 100482</t>
  </si>
  <si>
    <t xml:space="preserve">Producto de otra referencia mezclado</t>
  </si>
  <si>
    <t xml:space="preserve">5 · REABASTECIMIENTO Y AGOTADOS DE PICKING</t>
  </si>
  <si>
    <t xml:space="preserve">Si el reabastecimiento va adelante o detrás del alistamiento. Se mide con barridos que haces tú, sin depender de que nadie lleve un registro.</t>
  </si>
  <si>
    <t xml:space="preserve">Saber cuántas posiciones de picking están vacías o a punto de agotarse, cómo evoluciona eso durante el día, y cuántas veces un operario se topa con una posición vacía por cada 100 líneas.</t>
  </si>
  <si>
    <t xml:space="preserve">Tú solo. No necesitas que un supervisor registre nada durante el turno.</t>
  </si>
  <si>
    <t xml:space="preserve">20 minutos por barrido. Tres barridos en el día.</t>
  </si>
  <si>
    <t xml:space="preserve">Esta hoja y el recorrido de la cara de picking.</t>
  </si>
  <si>
    <t xml:space="preserve">BARRIDO 1 — al inicio del turno. Recorre la cara de picking zona por zona y clasifica cada posición: vacía, en riesgo u OK. Anota una fila por zona.</t>
  </si>
  <si>
    <t xml:space="preserve">Anota en el bloque B las posiciones que encuentres vacías con pedido pendiente: hora, ubicación y SKU. Son los agotados observados.</t>
  </si>
  <si>
    <t xml:space="preserve">BARRIDO 2 — a media mañana. Repite el recorrido. Al pasar por las posiciones que estaban vacías en el barrido 1, mira si ya las repusieron y márcalo en el bloque B.</t>
  </si>
  <si>
    <t xml:space="preserve">BARRIDO 3 — tres horas antes del corte. Es el más importante: es el momento de mayor demanda sobre el reabastecimiento.</t>
  </si>
  <si>
    <t xml:space="preserve">El resumen por barrido y el deterioro entre el primero y el tercero se calculan solos. El bloque C cruza automáticamente con la hoja 3 para dar agotados por cada 100 líneas.</t>
  </si>
  <si>
    <t xml:space="preserve">VACÍA: no hay nada en la posición de picking.</t>
  </si>
  <si>
    <t xml:space="preserve">EN RIESGO: queda menos de lo que ese SKU saca en una hora. Si no sabes la rotación, usa la regla de la caja: queda una caja o menos.</t>
  </si>
  <si>
    <t xml:space="preserve">OK: hay inventario suficiente para el resto de la jornada.</t>
  </si>
  <si>
    <t xml:space="preserve">Cuenta solo posiciones de la CARA DE PICKING, no de almacenamiento en altura.</t>
  </si>
  <si>
    <t xml:space="preserve">Usa siempre el mismo recorrido y las mismas zonas en los tres barridos. Si cambias el recorrido, los barridos dejan de ser comparables.</t>
  </si>
  <si>
    <t xml:space="preserve">En el bloque B, un agotado cuenta aunque lo repongan a los dos minutos: lo que mides es la frecuencia, no la gravedad.</t>
  </si>
  <si>
    <t xml:space="preserve">¿El reabastecimiento se hace en ola antes del turno o a demanda, según se va agotando?</t>
  </si>
  <si>
    <t xml:space="preserve">¿Existe un punto de reorden por posición de picking o se hace a criterio del reabastecedor?</t>
  </si>
  <si>
    <t xml:space="preserve">¿Cuántas personas reabastecen frente a cuántas alistan?</t>
  </si>
  <si>
    <t xml:space="preserve">¿Quién decide la prioridad cuando hay cinco posiciones vacías al mismo tiempo?</t>
  </si>
  <si>
    <t xml:space="preserve">¿El sistema avisa cuándo una posición de picking está por agotarse, o alguien tiene que verlo?</t>
  </si>
  <si>
    <t xml:space="preserve">  BLOQUE A — BARRIDOS DE LA CARA DE PICKING</t>
  </si>
  <si>
    <t xml:space="preserve">Barrido</t>
  </si>
  <si>
    <t xml:space="preserve">Posiciones revisadas</t>
  </si>
  <si>
    <t xml:space="preserve">En riesgo</t>
  </si>
  <si>
    <t xml:space="preserve">OK</t>
  </si>
  <si>
    <t xml:space="preserve">% vacías</t>
  </si>
  <si>
    <t xml:space="preserve">% en riesgo</t>
  </si>
  <si>
    <t xml:space="preserve">Barrido 1</t>
  </si>
  <si>
    <t xml:space="preserve">06:40</t>
  </si>
  <si>
    <t xml:space="preserve">EJEMPLO ▸ Picking pasillo A</t>
  </si>
  <si>
    <t xml:space="preserve">Dos SKU sin reponer desde ayer</t>
  </si>
  <si>
    <t xml:space="preserve">  RESUMEN POR BARRIDO</t>
  </si>
  <si>
    <t xml:space="preserve">Barrido 1 — Inicio de turno</t>
  </si>
  <si>
    <t xml:space="preserve">Barrido 2 — Media mañana</t>
  </si>
  <si>
    <t xml:space="preserve">Barrido 3 — Antes del corte</t>
  </si>
  <si>
    <t xml:space="preserve">DETERIORO DURANTE EL DÍA</t>
  </si>
  <si>
    <t xml:space="preserve">Positivo significa que el día empeora: el reabastecimiento va detrás del alistamiento. Negativo o cero significa que va adelante y aguanta el pico.</t>
  </si>
  <si>
    <t xml:space="preserve">  BLOQUE B — AGOTADOS OBSERVADOS</t>
  </si>
  <si>
    <t xml:space="preserve">¿Había pedido pendiente?</t>
  </si>
  <si>
    <t xml:space="preserve">¿Seguía vacía en el barrido siguiente?</t>
  </si>
  <si>
    <t xml:space="preserve">Min hasta reponer</t>
  </si>
  <si>
    <t xml:space="preserve">08:15</t>
  </si>
  <si>
    <t xml:space="preserve">Picking A</t>
  </si>
  <si>
    <t xml:space="preserve">A-04-01-A</t>
  </si>
  <si>
    <t xml:space="preserve">El operario siguió con otra línea</t>
  </si>
  <si>
    <t xml:space="preserve">EVENTOS OBSERVADOS</t>
  </si>
  <si>
    <t xml:space="preserve">No repuestas</t>
  </si>
  <si>
    <t xml:space="preserve">  BLOQUE C — AGOTADOS POR CADA 100 LÍNEAS (se calcula solo desde la hoja 3)</t>
  </si>
  <si>
    <t xml:space="preserve">Posiciones vacías encontradas en los ciclos cronometrados</t>
  </si>
  <si>
    <t xml:space="preserve">Líneas alistadas en esos mismos ciclos</t>
  </si>
  <si>
    <t xml:space="preserve">AGOTADOS POR CADA 100 LÍNEAS</t>
  </si>
  <si>
    <t xml:space="preserve">CÓMO SE LEE — El porcentaje en riesgo del barrido 3 dice si el reabastecimiento aguanta el pico. El deterioro dice si va adelante o detrás. Y los agotados por cada 100 líneas son el indicador con denominador: es el único comparable entre días y entre CEDI, porque no depende de cuánto volumen hubo. Referencia: menos de 1 por cada 100 líneas.</t>
  </si>
  <si>
    <t xml:space="preserve">6 · SEGUIMIENTO DE PEDIDOS — DEL PEDIDO AL CAMIÓN</t>
  </si>
  <si>
    <t xml:space="preserve">El corazón del día. Mide cuánto avanza el pedido y cuánto pasa quieto: en la mayoría de CEDI, entre 60 y 80% de su ciclo es espera.</t>
  </si>
  <si>
    <t xml:space="preserve">Reconstruir el ciclo completo de pedidos reales y separar el tiempo de trabajo del tiempo de espera, en especial el que pasa alistado esperando cargue.</t>
  </si>
  <si>
    <t xml:space="preserve">Tú. Las horas se copian de la orden, del tablero o preguntando en cada estación.</t>
  </si>
  <si>
    <t xml:space="preserve">10 minutos al escoger los pedidos y unos minutos cada vez que pases por una estación.</t>
  </si>
  <si>
    <t xml:space="preserve">Esta hoja. Si el WMS entrega las marcas de tiempo, se pegan encima y las fórmulas siguen funcionando.</t>
  </si>
  <si>
    <t xml:space="preserve">Escoge 20 pedidos del día apenas llegues. De rutas distintas y de horas distintas — no los que te sugieran.</t>
  </si>
  <si>
    <t xml:space="preserve">Anota la hora de liberación de cada uno: es cuando arranca el cronómetro del pedido.</t>
  </si>
  <si>
    <t xml:space="preserve">Cada vez que pases por alistamiento, chequeo, staging o muelle, anota las horas que ya se cumplieron. No tienes que quedarte parado esperando.</t>
  </si>
  <si>
    <t xml:space="preserve">Al cierre completa las horas de cargue y de salida del vehículo. Los pedidos incompletos igual sirven: las columnas que se puedan calcular se calculan.</t>
  </si>
  <si>
    <t xml:space="preserve">Si consigues la descarga del WMS con las mismas marcas de tiempo, pégala desde la primera fila de datos: las columnas grises se recalculan solas. Para más de 60 pedidos, arrastra las fórmulas hacia abajo.</t>
  </si>
  <si>
    <t xml:space="preserve">Escribe todas las horas en formato HH:MM. Por ejemplo 14:05, no «2 y cinco».</t>
  </si>
  <si>
    <t xml:space="preserve">LIBERACIÓN es cuando el pedido queda disponible para alistar, no cuando el cliente lo puso.</t>
  </si>
  <si>
    <t xml:space="preserve">FIN DE ALISTAMIENTO es cuando el pedido queda completo, antes de chequeo.</t>
  </si>
  <si>
    <t xml:space="preserve">INICIO DE CARGUE es cuando el primer bulto sube al vehículo, no cuando el vehículo llega.</t>
  </si>
  <si>
    <t xml:space="preserve">Si una estación no existe en Madrid (por ejemplo, no hay chequeo aparte), deja esa hora vacía: el ciclo total y el porcentaje de espera se siguen calculando bien.</t>
  </si>
  <si>
    <t xml:space="preserve">No inventes horas. Una celda vacía es mejor que un dato aproximado: la fila incompleta no distorsiona los promedios.</t>
  </si>
  <si>
    <t xml:space="preserve">Cuando un pedido queda alistado y no sale, ¿dónde se pone y cuál es la capacidad de ese espacio?</t>
  </si>
  <si>
    <t xml:space="preserve">¿Por qué esperó el pedido que más esperó hoy? Pregúntalo señalando ese pedido concreto.</t>
  </si>
  <si>
    <t xml:space="preserve">¿Se alista contra la hora de cita del vehículo o contra el corte general?</t>
  </si>
  <si>
    <t xml:space="preserve">¿Quién avisa a despacho que un pedido ya está listo, y cómo?</t>
  </si>
  <si>
    <t xml:space="preserve">¿Cuántos pedidos del día anterior quedaron alistados sin salir?</t>
  </si>
  <si>
    <t xml:space="preserve">Pedido</t>
  </si>
  <si>
    <t xml:space="preserve">Ruta o cliente</t>
  </si>
  <si>
    <t xml:space="preserve">Prioridad</t>
  </si>
  <si>
    <t xml:space="preserve">Hora liberación</t>
  </si>
  <si>
    <t xml:space="preserve">Inicio alistamiento</t>
  </si>
  <si>
    <t xml:space="preserve">Fin alistamiento</t>
  </si>
  <si>
    <t xml:space="preserve">Fin chequeo</t>
  </si>
  <si>
    <t xml:space="preserve">Inicio cargue</t>
  </si>
  <si>
    <t xml:space="preserve">Salida del vehículo</t>
  </si>
  <si>
    <t xml:space="preserve">Espera para arrancar (min)</t>
  </si>
  <si>
    <t xml:space="preserve">Alistamiento (min)</t>
  </si>
  <si>
    <t xml:space="preserve">Espera a chequeo (min)</t>
  </si>
  <si>
    <t xml:space="preserve">Cargue (min)</t>
  </si>
  <si>
    <t xml:space="preserve">Ciclo total (min)</t>
  </si>
  <si>
    <t xml:space="preserve">% del ciclo en espera</t>
  </si>
  <si>
    <t xml:space="preserve">Min por línea</t>
  </si>
  <si>
    <t xml:space="preserve">EJ ▸ PED-88213</t>
  </si>
  <si>
    <t xml:space="preserve">Ruta Norte 3</t>
  </si>
  <si>
    <t xml:space="preserve">Alta</t>
  </si>
  <si>
    <t xml:space="preserve">08:00</t>
  </si>
  <si>
    <t xml:space="preserve">09:20</t>
  </si>
  <si>
    <t xml:space="preserve">10:35</t>
  </si>
  <si>
    <t xml:space="preserve">10:55</t>
  </si>
  <si>
    <t xml:space="preserve">14:10</t>
  </si>
  <si>
    <t xml:space="preserve">15:05</t>
  </si>
  <si>
    <t xml:space="preserve">Alistado a las 10:55 y cargó a las 14:10</t>
  </si>
  <si>
    <t xml:space="preserve">TOTAL / PROMEDIO</t>
  </si>
  <si>
    <t xml:space="preserve">CÓMO SE LEE — «Alistado esperando cargue» es el tiempo en que el pedido ya está terminado y no sale: ocupa staging, no agrega nada y es invisible en cualquier indicador de productividad. El «% del ciclo en espera» es todo lo que no fue alistamiento ni cargue. Si pasa de 60%, el problema no es la velocidad de la gente: es la sincronización entre alistamiento, transporte y programación de salidas. Ese es el número que cambia la conversación.</t>
  </si>
  <si>
    <t xml:space="preserve">7 · PRIORIDADES Y SECUENCIA DE ALISTAMIENTO</t>
  </si>
  <si>
    <t xml:space="preserve">Si el CEDI alista en el orden en que los pedidos tienen que salir. Alistar fuera de secuencia llena el staging y hace esperar a los camiones.</t>
  </si>
  <si>
    <t xml:space="preserve">Comprobar si existe una regla de priorización y si la operación la cumple, comparando el orden real de alistamiento contra el orden en que los pedidos debían salir.</t>
  </si>
  <si>
    <t xml:space="preserve">Tú, al cierre del día, con los pedidos que ya seguiste en la hoja 6.</t>
  </si>
  <si>
    <t xml:space="preserve">20 minutos.</t>
  </si>
  <si>
    <t xml:space="preserve">La hoja 6 diligenciada y la programación de salidas del día.</t>
  </si>
  <si>
    <t xml:space="preserve">Apenas llegues, pregunta cómo se programan las salidas y márcalo en el desplegable de abajo: citas por ruta, corte único o mixto. De eso depende contra qué se compara.</t>
  </si>
  <si>
    <t xml:space="preserve">Haz las cinco preguntas del bloque A y escribe la respuesta textual, no tu interpretación.</t>
  </si>
  <si>
    <t xml:space="preserve">Al cierre, pasa al bloque B los pedidos de la hoja 6 con su hora de cita o de corte aplicable.</t>
  </si>
  <si>
    <t xml:space="preserve">Ordena mentalmente los pedidos por esa hora: el que sale primero es el 1. Escribe ese número en «orden que le correspondía».</t>
  </si>
  <si>
    <t xml:space="preserve">Escribe en «orden real» el número según el orden en que efectivamente se alistaron (usa la hora de fin de alistamiento de la hoja 6).</t>
  </si>
  <si>
    <t xml:space="preserve">La desviación y el porcentaje fuera de secuencia se calculan solos.</t>
  </si>
  <si>
    <t xml:space="preserve">Si el esquema es de CITAS, la hora de referencia es la hora de cita del vehículo.</t>
  </si>
  <si>
    <t xml:space="preserve">Si es CORTE ÚNICO, la referencia es la prioridad de cliente o de ruta que ellos declaren. Escríbela en la observación.</t>
  </si>
  <si>
    <t xml:space="preserve">Si es MIXTO, usa la cita cuando exista y el corte para el resto.</t>
  </si>
  <si>
    <t xml:space="preserve">Los dos órdenes se numeran 1, 2, 3… sobre el mismo conjunto de pedidos. Si no puedes ordenar un pedido, déjalo vacío en las dos columnas.</t>
  </si>
  <si>
    <t xml:space="preserve">Se considera fuera de secuencia una desviación mayor a 2 posiciones. Uno o dos puestos es ruido normal de operación.</t>
  </si>
  <si>
    <t xml:space="preserve">¿Existe una regla escrita de priorización o cada turno decide?</t>
  </si>
  <si>
    <t xml:space="preserve">¿Quién puede saltarse la regla y qué tiene que pasar para que se salte?</t>
  </si>
  <si>
    <t xml:space="preserve">¿Qué cuenta como pedido urgente y cuántos hubo ayer?</t>
  </si>
  <si>
    <t xml:space="preserve">¿Qué pasa con los pedidos que no alcanzan a salir? ¿Quedan de primeros mañana o vuelven a la cola?</t>
  </si>
  <si>
    <t xml:space="preserve">¿Alistamiento sabe a qué hora tiene cita cada vehículo?</t>
  </si>
  <si>
    <t xml:space="preserve">  BLOQUE A — LA REGLA DE PRIORIZACIÓN</t>
  </si>
  <si>
    <t xml:space="preserve">Esquema de programación de salidas</t>
  </si>
  <si>
    <t xml:space="preserve">Por definir</t>
  </si>
  <si>
    <t xml:space="preserve">Pregúntalo en la reunión de apertura. Define contra qué se mide la secuencia.</t>
  </si>
  <si>
    <t xml:space="preserve">Pregunta</t>
  </si>
  <si>
    <t xml:space="preserve">Respuesta</t>
  </si>
  <si>
    <t xml:space="preserve">Señal de alarma en la respuesta</t>
  </si>
  <si>
    <t xml:space="preserve">¿Existe una regla escrita de priorización de pedidos?</t>
  </si>
  <si>
    <t xml:space="preserve">No hay, o cada supervisor tiene la suya.</t>
  </si>
  <si>
    <t xml:space="preserve">¿Quién la define y quién puede saltársela?</t>
  </si>
  <si>
    <t xml:space="preserve">Cualquiera puede saltarla, o la salta comercial por teléfono.</t>
  </si>
  <si>
    <t xml:space="preserve">Más del 10% del día son urgentes: la urgencia dejó de serlo.</t>
  </si>
  <si>
    <t xml:space="preserve">¿Alistamiento conoce la hora de cita de cada vehículo?</t>
  </si>
  <si>
    <t xml:space="preserve">No la conocen: alistan a ciegas contra el corte.</t>
  </si>
  <si>
    <t xml:space="preserve">¿Qué pasa con los pedidos que no alcanzan a salir?</t>
  </si>
  <si>
    <t xml:space="preserve">Vuelven a la cola general en vez de quedar de primeros.</t>
  </si>
  <si>
    <t xml:space="preserve">  BLOQUE B — ORDEN CORRECTO FRENTE A ORDEN REAL</t>
  </si>
  <si>
    <t xml:space="preserve">Hora de cita o corte aplicable</t>
  </si>
  <si>
    <t xml:space="preserve">Orden que le correspondía</t>
  </si>
  <si>
    <t xml:space="preserve">Orden real de alistamiento</t>
  </si>
  <si>
    <t xml:space="preserve">Desviación</t>
  </si>
  <si>
    <t xml:space="preserve">¿Salió a tiempo?</t>
  </si>
  <si>
    <t xml:space="preserve">14:30</t>
  </si>
  <si>
    <t xml:space="preserve">Se alistó de últimas teniendo cita temprana</t>
  </si>
  <si>
    <t xml:space="preserve">PEDIDOS EVALUADOS</t>
  </si>
  <si>
    <t xml:space="preserve">Fuera de secuencia</t>
  </si>
  <si>
    <t xml:space="preserve">CÓMO SE LEE — La columna F del total es el porcentaje que salió a tiempo. Cuando se alista fuera de secuencia pasan dos cosas al mismo tiempo: el staging se llena de pedidos que todavía no salen, y los camiones de los pedidos que sí salen esperan. Es una de las causas más frecuentes de staging saturado, y casi nunca se mide.</t>
  </si>
  <si>
    <t xml:space="preserve">8 · MUELLE Y CARGUE</t>
  </si>
  <si>
    <t xml:space="preserve">Dónde se pierde el tiempo del vehículo, qué tan rápido se carga y cuántas veces el camión llega antes que el pedido.</t>
  </si>
  <si>
    <t xml:space="preserve">Medir la permanencia del vehículo, separar espera de cargue, calcular la productividad del cargue y detectar cuántos vehículos llegaron sin que el pedido estuviera listo.</t>
  </si>
  <si>
    <t xml:space="preserve">Portería registra las horas durante el día; tú observas el cargue en el pico y recoges la planilla al cierre.</t>
  </si>
  <si>
    <t xml:space="preserve">2 minutos por vehículo para portería. 30 minutos para ti en el pico.</t>
  </si>
  <si>
    <t xml:space="preserve">Una planilla en portería y esta hoja.</t>
  </si>
  <si>
    <t xml:space="preserve">Pide en portería que registren cada vehículo con tres horas: llegada, entrada al muelle y salida. Si ya lo llevan, pide además los últimos 30 días.</t>
  </si>
  <si>
    <t xml:space="preserve">Anota arriba cuántos muelles hay habilitados y cuántos se usan al mismo tiempo. La diferencia suele explicar la espera.</t>
  </si>
  <si>
    <t xml:space="preserve">En el pico, párate en el muelle y para cada vehículo anota: cuántos pallets o cajas se cargaron, cuántas personas cargaron, y si el pedido estaba listo cuando el vehículo llegó.</t>
  </si>
  <si>
    <t xml:space="preserve">Al cierre recoge la planilla de portería y completa las horas que te falten.</t>
  </si>
  <si>
    <t xml:space="preserve">La espera, el cargue, la permanencia y la productividad se calculan solos.</t>
  </si>
  <si>
    <t xml:space="preserve">Escribe las horas en formato HH:MM. Por ejemplo 08:15, no «8 y cuarto» ni «8:15 am».</t>
  </si>
  <si>
    <t xml:space="preserve">ESPERA es desde que llega a portería hasta que entra al muelle. Es tiempo perdido puro.</t>
  </si>
  <si>
    <t xml:space="preserve">CARGUE es desde que entra al muelle hasta que sale. Incluye documentos y precintado.</t>
  </si>
  <si>
    <t xml:space="preserve">«¿Pedido listo al llegar?» es NO si al llegar el vehículo el pedido todavía se estaba alistando o chequeando.</t>
  </si>
  <si>
    <t xml:space="preserve">En unidades cargadas usa siempre la misma unidad — pallets o cajas, no mezcles — o la productividad no será comparable.</t>
  </si>
  <si>
    <t xml:space="preserve">Si no tienes la hora de entrada al muelle, deja la celda vacía: es mejor un dato faltante que uno inventado.</t>
  </si>
  <si>
    <t xml:space="preserve">¿Existe sistema de citas para los vehículos y quién lo administra?</t>
  </si>
  <si>
    <t xml:space="preserve">¿Cuántos muelles hay habilitados y por qué no se usan todos al mismo tiempo?</t>
  </si>
  <si>
    <t xml:space="preserve">¿El pedido ya está alistado cuando llega el vehículo, o se alista con el vehículo esperando?</t>
  </si>
  <si>
    <t xml:space="preserve">¿Hay secuencia de cargue por ruta de entrega? Lo último en cargar debe ser lo primero en entregar.</t>
  </si>
  <si>
    <t xml:space="preserve">¿Los que cargan son los mismos que alistan?</t>
  </si>
  <si>
    <t xml:space="preserve">¿Cuánto le cobra el transportador a la compañía por hora de espera?</t>
  </si>
  <si>
    <t xml:space="preserve">Muelles habilitados</t>
  </si>
  <si>
    <t xml:space="preserve">Muelles en uso al mismo tiempo</t>
  </si>
  <si>
    <t xml:space="preserve">Placa</t>
  </si>
  <si>
    <t xml:space="preserve">Transportista</t>
  </si>
  <si>
    <t xml:space="preserve">Hora llegada</t>
  </si>
  <si>
    <t xml:space="preserve">Hora entrada muelle</t>
  </si>
  <si>
    <t xml:space="preserve">Hora salida</t>
  </si>
  <si>
    <t xml:space="preserve">Espera (min)</t>
  </si>
  <si>
    <t xml:space="preserve">Permanencia total (min)</t>
  </si>
  <si>
    <t xml:space="preserve">Unidades cargadas</t>
  </si>
  <si>
    <t xml:space="preserve">Personas en el cargue</t>
  </si>
  <si>
    <t xml:space="preserve">Unidades por hora-hombre</t>
  </si>
  <si>
    <t xml:space="preserve">¿Pedido listo al llegar?</t>
  </si>
  <si>
    <t xml:space="preserve">EJ ▸ ABC123</t>
  </si>
  <si>
    <t xml:space="preserve">Transportes Norte</t>
  </si>
  <si>
    <t xml:space="preserve">07:40</t>
  </si>
  <si>
    <t xml:space="preserve">09:05</t>
  </si>
  <si>
    <t xml:space="preserve">10:20</t>
  </si>
  <si>
    <t xml:space="preserve">Esperó porque el pedido no estaba alistado</t>
  </si>
  <si>
    <t xml:space="preserve">PROMEDIO</t>
  </si>
  <si>
    <t xml:space="preserve">VEHÍCULOS QUE LLEGARON SIN EL PEDIDO LISTO</t>
  </si>
  <si>
    <t xml:space="preserve">CÓMO SE LEE — Si la espera pesa más que el cargue, el cuello está en la programación de citas, no en la operación de muelle. Referencias de productividad: 15 a 25 pallets por hora-hombre con montacargas, 200 a 350 cajas por hora-hombre en cargue manual. Y el porcentaje de vehículos que llegaron sin pedido listo se lee junto con la hoja 6: es la misma falta de sincronización vista desde el otro lado.</t>
  </si>
  <si>
    <t xml:space="preserve">9 · PREGUNTAS PARA HACER EN PISO</t>
  </si>
  <si>
    <t xml:space="preserve">Formuladas tal como se dicen. Cada una trae qué buscar en la respuesta y qué hacer si aparece la señal de alarma.</t>
  </si>
  <si>
    <t xml:space="preserve">  REGLA GENERAL</t>
  </si>
  <si>
    <t xml:space="preserve">A los operarios se les pregunta sin el supervisor delante. Si el supervisor está presente, la respuesta es la que él querría oír.</t>
  </si>
  <si>
    <t xml:space="preserve">Pregunta y cállate. El silencio incómodo después de la respuesta es donde aparece la información que no te iban a dar.</t>
  </si>
  <si>
    <t xml:space="preserve">Nunca preguntes «¿quién se equivocó?». Cierra la información para el resto del día y para la próxima visita.</t>
  </si>
  <si>
    <t xml:space="preserve">  PREGUNTAS QUE NO FUNCIONAN Y CON QUÉ REEMPLAZARLAS</t>
  </si>
  <si>
    <t xml:space="preserve">En vez de preguntar esto…</t>
  </si>
  <si>
    <t xml:space="preserve">…pregunta esto</t>
  </si>
  <si>
    <t xml:space="preserve">«¿Por qué está tan lleno?»</t>
  </si>
  <si>
    <t xml:space="preserve">«Muéstreme el pallet más viejo que hay en piso.»</t>
  </si>
  <si>
    <t xml:space="preserve">«¿Cómo van los indicadores?»</t>
  </si>
  <si>
    <t xml:space="preserve">«Muéstreme el dato crudo de la semana pasada, no el reporte.»</t>
  </si>
  <si>
    <t xml:space="preserve">«¿Están cumpliendo la meta?»</t>
  </si>
  <si>
    <t xml:space="preserve">«¿Cuál fue el peor día del mes y qué pasó ese día?»</t>
  </si>
  <si>
    <t xml:space="preserve">«¿Tienen algún problema?»</t>
  </si>
  <si>
    <t xml:space="preserve">«Si le dieran una persona más mañana, ¿dónde la pondría y por qué?»</t>
  </si>
  <si>
    <t xml:space="preserve">«¿Quién se equivocó?»</t>
  </si>
  <si>
    <t xml:space="preserve">«¿Qué tendría que cambiar para que ese error fuera imposible?»</t>
  </si>
  <si>
    <t xml:space="preserve">«¿Se despacha a tiempo?»</t>
  </si>
  <si>
    <t xml:space="preserve">«Muéstreme un pedido que se alistó temprano y salió tarde. ¿Qué pasó?»</t>
  </si>
  <si>
    <t xml:space="preserve">  BANCO DE PREGUNTAS</t>
  </si>
  <si>
    <t xml:space="preserve">A quién</t>
  </si>
  <si>
    <t xml:space="preserve">Pregunta (dila así)</t>
  </si>
  <si>
    <t xml:space="preserve">Por qué esta pregunta</t>
  </si>
  <si>
    <t xml:space="preserve">Qué hacer si aparece la señal</t>
  </si>
  <si>
    <t xml:space="preserve">Reabastecimiento</t>
  </si>
  <si>
    <t xml:space="preserve">¿El reabastecimiento se hace en ola antes del turno o a demanda?</t>
  </si>
  <si>
    <t xml:space="preserve">Define si va adelante o detrás del alistamiento.</t>
  </si>
  <si>
    <t xml:space="preserve">Responden «a demanda» o «cuando avisan».</t>
  </si>
  <si>
    <t xml:space="preserve">Pasar a ola antes del turno. Es la acción de mayor impacto y menor costo sobre los agotados.</t>
  </si>
  <si>
    <t xml:space="preserve">¿Existe punto de reorden por posición de picking o va a criterio?</t>
  </si>
  <si>
    <t xml:space="preserve">Sin punto de reorden, el agotado es cuestión de suerte.</t>
  </si>
  <si>
    <t xml:space="preserve">Va a criterio del reabastecedor.</t>
  </si>
  <si>
    <t xml:space="preserve">Definir punto de reorden por posición según rotación. Empezar por los SKU que se repiten en la hoja 5.</t>
  </si>
  <si>
    <t xml:space="preserve">¿Quién decide la prioridad cuando hay cinco posiciones vacías al tiempo?</t>
  </si>
  <si>
    <t xml:space="preserve">Revela si hay regla o improvisación bajo presión.</t>
  </si>
  <si>
    <t xml:space="preserve">Cada quien decide, o «el que grite más fuerte».</t>
  </si>
  <si>
    <t xml:space="preserve">Regla simple: primero la posición del SKU con pedido pendiente más próximo a salir.</t>
  </si>
  <si>
    <t xml:space="preserve">Un desbalance explica los agotados sin más análisis.</t>
  </si>
  <si>
    <t xml:space="preserve">Menos de 1 reabastecedor por cada 6 u 8 alistadores.</t>
  </si>
  <si>
    <t xml:space="preserve">Rebalancear el turno antes de contratar. Suele ser mover gente, no sumarla.</t>
  </si>
  <si>
    <t xml:space="preserve">Prioridades</t>
  </si>
  <si>
    <t xml:space="preserve">Sin regla escrita, la secuencia depende del turno.</t>
  </si>
  <si>
    <t xml:space="preserve">Escribirla y publicarla en el piso. Es una acción de cero costo y efecto inmediato.</t>
  </si>
  <si>
    <t xml:space="preserve">Si no la conocen, alistan a ciegas contra el corte.</t>
  </si>
  <si>
    <t xml:space="preserve">No la conocen o llega tarde.</t>
  </si>
  <si>
    <t xml:space="preserve">Publicar la programación de citas en la zona de alistamiento, actualizada cada mañana.</t>
  </si>
  <si>
    <t xml:space="preserve">Si todo es urgente, nada lo es.</t>
  </si>
  <si>
    <t xml:space="preserve">Más del 10% del día son urgentes.</t>
  </si>
  <si>
    <t xml:space="preserve">Definir qué es urgente, quién lo autoriza y poner tope diario.</t>
  </si>
  <si>
    <t xml:space="preserve">Despacho</t>
  </si>
  <si>
    <t xml:space="preserve">¿Dónde se pone un pedido alistado mientras espera, y cuál es la capacidad de ese espacio?</t>
  </si>
  <si>
    <t xml:space="preserve">Conecta el tiempo de espera con el staging saturado.</t>
  </si>
  <si>
    <t xml:space="preserve">No hay capacidad definida ni marcación en piso.</t>
  </si>
  <si>
    <t xml:space="preserve">Marcar el piso con capacidad máxima visible por posición de staging. Si no cabe, no se alista todavía.</t>
  </si>
  <si>
    <t xml:space="preserve">Muchas esperas son solo falta de aviso.</t>
  </si>
  <si>
    <t xml:space="preserve">Nadie avisa: despacho lo descubre al pasar.</t>
  </si>
  <si>
    <t xml:space="preserve">Definir la señal de «listo para cargar». A veces basta un tablero o un color de rótulo.</t>
  </si>
  <si>
    <t xml:space="preserve">Cargue</t>
  </si>
  <si>
    <t xml:space="preserve">¿Hay secuencia de cargue por ruta de entrega?</t>
  </si>
  <si>
    <t xml:space="preserve">Lo último en cargar debe ser lo primero en entregar. Casi nunca se pregunta.</t>
  </si>
  <si>
    <t xml:space="preserve">Se carga como vaya llegando.</t>
  </si>
  <si>
    <t xml:space="preserve">Definir secuencia de cargue por orden inverso de entrega. Ahorra tiempo en cada parada de la ruta.</t>
  </si>
  <si>
    <t xml:space="preserve">Si son los mismos, el cargue interrumpe el alistamiento y viceversa.</t>
  </si>
  <si>
    <t xml:space="preserve">Son los mismos y se turnan según la urgencia.</t>
  </si>
  <si>
    <t xml:space="preserve">Separar los roles en el pico, aunque sea solo en las tres horas antes del corte.</t>
  </si>
  <si>
    <t xml:space="preserve">¿Qué es lo que más tiempo le hace perder en el día?</t>
  </si>
  <si>
    <t xml:space="preserve">Nombra el desperdicio real antes que cualquier indicador.</t>
  </si>
  <si>
    <t xml:space="preserve">Menciona esperar producto o caminar.</t>
  </si>
  <si>
    <t xml:space="preserve">Contrástalo con las hojas 3 y 5: ya tienes causa y evidencia.</t>
  </si>
  <si>
    <t xml:space="preserve">¿Cuántas veces al día llega a una posición y no hay producto?</t>
  </si>
  <si>
    <t xml:space="preserve">Estima los agotados sin esperar el barrido.</t>
  </si>
  <si>
    <t xml:space="preserve">Más de dos o tres veces al día.</t>
  </si>
  <si>
    <t xml:space="preserve">Contrasta con la hoja 5 y revisa el punto de reorden de esos SKU.</t>
  </si>
  <si>
    <t xml:space="preserve">¿Cuántas líneas se supone que debe hacer por hora?</t>
  </si>
  <si>
    <t xml:space="preserve">Verifica si existe estándar de trabajo.</t>
  </si>
  <si>
    <t xml:space="preserve">No sabe, o cada quien dice un número distinto.</t>
  </si>
  <si>
    <t xml:space="preserve">No hay estándar. Sin estándar no hay productividad que gestionar, solo esfuerzo individual.</t>
  </si>
  <si>
    <t xml:space="preserve">Si usted mandara aquí, ¿qué cambiaría primero?</t>
  </si>
  <si>
    <t xml:space="preserve">La mejor pregunta de cierre. Sabe la respuesta y casi nunca se la piden.</t>
  </si>
  <si>
    <t xml:space="preserve">Responde de inmediato y con detalle.</t>
  </si>
  <si>
    <t xml:space="preserve">Escríbelo textual en la hoja 11. Suele ser la acción de mayor impacto y menor costo.</t>
  </si>
  <si>
    <t xml:space="preserve">¿Cuál es su cuello de botella hoy?</t>
  </si>
  <si>
    <t xml:space="preserve">Mide si hay gestión o solo reacción.</t>
  </si>
  <si>
    <t xml:space="preserve">Responde «todo» o cambia de tema.</t>
  </si>
  <si>
    <t xml:space="preserve">No hay gestión por indicadores. Empieza por instalar el tablero diario.</t>
  </si>
  <si>
    <t xml:space="preserve">¿Cuántos pedidos quedaron ayer alistados sin salir?</t>
  </si>
  <si>
    <t xml:space="preserve">Es el inventario de trabajo terminado que nadie contabiliza.</t>
  </si>
  <si>
    <t xml:space="preserve">No lo saben o el número es alto.</t>
  </si>
  <si>
    <t xml:space="preserve">Medirlo diario. Un pedido alistado que no sale ocupa espacio y esconde el problema de sincronización.</t>
  </si>
  <si>
    <t xml:space="preserve">¿Cuándo fue el último re-slotting y con qué criterio?</t>
  </si>
  <si>
    <t xml:space="preserve">Más de seis meses explica buena parte del desplazamiento.</t>
  </si>
  <si>
    <t xml:space="preserve">No recuerda, o fue «cuando se organizó la bodega».</t>
  </si>
  <si>
    <t xml:space="preserve">Programar re-slotting de los 200 SKU de mayor rotación. Es el quick win de mayor impacto.</t>
  </si>
  <si>
    <t xml:space="preserve">¿Se recibe en flujo o por lotes al final del turno?</t>
  </si>
  <si>
    <t xml:space="preserve">El lote al cierre deja producto en piso toda la noche.</t>
  </si>
  <si>
    <t xml:space="preserve">Se recibe por lotes o «cuando hay gente».</t>
  </si>
  <si>
    <t xml:space="preserve">Nivelar la recepción durante el turno. Es causa directa de dock-to-stock alto.</t>
  </si>
  <si>
    <t xml:space="preserve">Gestión humana</t>
  </si>
  <si>
    <t xml:space="preserve">¿Cuánta gente entró y salió del CEDI en los últimos seis meses?</t>
  </si>
  <si>
    <t xml:space="preserve">La rotación alta explica errores sin que nadie tenga la culpa.</t>
  </si>
  <si>
    <t xml:space="preserve">Rotación por encima del 30% anual.</t>
  </si>
  <si>
    <t xml:space="preserve">Con rotación alta siempre hay novatos. Reforzar certificación antes de operar solo.</t>
  </si>
  <si>
    <t xml:space="preserve">10 · SOLICITUD DE INFORMACIÓN</t>
  </si>
  <si>
    <t xml:space="preserve">Entrégala hoy, por escrito, con responsable y fecha. Si te vas sin dejarla, pierdes una semana esperando.</t>
  </si>
  <si>
    <t xml:space="preserve">AVANCE DE ENTREGA</t>
  </si>
  <si>
    <t xml:space="preserve">  CONDICIONES DE LA ENTREGA — DÍSELO ASÍ AL RESPONSABLE</t>
  </si>
  <si>
    <t xml:space="preserve">Período: últimas 13 semanas. Formato Excel o CSV plano, un registro por fila. Sin tablas dinámicas, sin consolidados, sin resúmenes. Si mandan un reporte ya cocinado no sirve: los promedios esconden el pico de las últimas tres horas antes del corte, el operario con menos de 90 días y los pedidos que se alistaron temprano y salieron tarde.</t>
  </si>
  <si>
    <t xml:space="preserve">Área</t>
  </si>
  <si>
    <t xml:space="preserve">Información solicitada</t>
  </si>
  <si>
    <t xml:space="preserve">Formato</t>
  </si>
  <si>
    <t xml:space="preserve">Fecha compromiso</t>
  </si>
  <si>
    <t xml:space="preserve">Recibido</t>
  </si>
  <si>
    <t xml:space="preserve">WMS / ERP</t>
  </si>
  <si>
    <t xml:space="preserve">Marcas de tiempo por pedido: liberación, inicio y fin de alistamiento, fin de chequeo, inicio y fin de cargue, y salida del vehículo</t>
  </si>
  <si>
    <t xml:space="preserve">CSV plano</t>
  </si>
  <si>
    <t xml:space="preserve">Movimientos de salida a nivel de línea: fecha, hora, SKU, cantidad, ubicación, operario, pedido, cliente y ruta</t>
  </si>
  <si>
    <t xml:space="preserve">Registro de reposiciones a posición de picking, con hora de solicitud y hora de ejecución</t>
  </si>
  <si>
    <t xml:space="preserve">Líneas con faltante o short pick, con su causal</t>
  </si>
  <si>
    <t xml:space="preserve">Movimientos de entrada con hora de llegada del vehículo Y hora de ubicación del producto (dock-to-stock)</t>
  </si>
  <si>
    <t xml:space="preserve">Snapshot de inventario por ubicación, al cierre de hoy</t>
  </si>
  <si>
    <t xml:space="preserve">Maestro de ubicaciones: posiciones por zona y por tipo, indicando cuáles son cara de picking</t>
  </si>
  <si>
    <t xml:space="preserve">Excel</t>
  </si>
  <si>
    <t xml:space="preserve">Maestro de SKU: dimensiones, peso, empaque, paletización y punto de reorden vigente</t>
  </si>
  <si>
    <t xml:space="preserve">Devoluciones y notas crédito con su causal</t>
  </si>
  <si>
    <t xml:space="preserve">Resultados de los últimos conteos cíclicos y ajustes de inventario con su causal</t>
  </si>
  <si>
    <t xml:space="preserve">Operación</t>
  </si>
  <si>
    <t xml:space="preserve">Regla de priorización de pedidos vigente, como documento</t>
  </si>
  <si>
    <t xml:space="preserve">PDF o Word</t>
  </si>
  <si>
    <t xml:space="preserve">Pedidos que quedaron alistados sin salir, por día, últimas 13 semanas</t>
  </si>
  <si>
    <t xml:space="preserve">Headcount por turno y por función, separando alistamiento, reabastecimiento y cargue</t>
  </si>
  <si>
    <t xml:space="preserve">Horas ordinarias y horas extra por período</t>
  </si>
  <si>
    <t xml:space="preserve">Ausentismo, rotación y antigüedad promedio</t>
  </si>
  <si>
    <t xml:space="preserve">Transporte</t>
  </si>
  <si>
    <t xml:space="preserve">Programación de citas de vehículos frente a la hora real de llegada y de salida</t>
  </si>
  <si>
    <t xml:space="preserve">Vehículos programados frente a ejecutados, y ocupación del vehículo despachado</t>
  </si>
  <si>
    <t xml:space="preserve">Sitio</t>
  </si>
  <si>
    <t xml:space="preserve">Layout a escala con zonas, muelles, cara de picking y pasillos</t>
  </si>
  <si>
    <t xml:space="preserve">PDF o DWG</t>
  </si>
  <si>
    <t xml:space="preserve">Finanzas</t>
  </si>
  <si>
    <t xml:space="preserve">Costo total del CEDI del último trimestre</t>
  </si>
  <si>
    <t xml:space="preserve">Los cuatro primeros renglones son los que permiten reconstruir el ciclo del pedido con cientos de casos en vez de los 20 que sigas a mano. Si solo consigues uno, que sea el primero: las marcas de tiempo por pedido.</t>
  </si>
  <si>
    <t xml:space="preserve">11 · HALLAZGOS Y COMPROMISOS DEL DÍA</t>
  </si>
  <si>
    <t xml:space="preserve">El producto de la visita. Un hallazgo es un hecho con número: si no tiene cifra, es una opinión y no entra aquí.</t>
  </si>
  <si>
    <t xml:space="preserve">  CÓMO SE ESCRIBE UN HALLAZGO</t>
  </si>
  <si>
    <t xml:space="preserve">BIEN</t>
  </si>
  <si>
    <t xml:space="preserve">«Los 20 pedidos que seguí pasaron el 71% de su ciclo quietos; en promedio esperaron 3 h 20 min alistados antes de cargar.» · «En el barrido de las 14:00, el 23% de las posiciones de picking estaban vacías o en riesgo.» · «Conté 5 pasillos: 93% de ocupación.»</t>
  </si>
  <si>
    <t xml:space="preserve">MAL</t>
  </si>
  <si>
    <t xml:space="preserve">«La bodega está desordenada.» · «Falta compromiso del personal.» · «Se ve mucho inventario.» Nada de eso se puede medir después ni discutir con datos.</t>
  </si>
  <si>
    <t xml:space="preserve">Hallazgo (hecho con número)</t>
  </si>
  <si>
    <t xml:space="preserve">Evidencia</t>
  </si>
  <si>
    <t xml:space="preserve">Causa probable</t>
  </si>
  <si>
    <t xml:space="preserve">Acción propuesta</t>
  </si>
  <si>
    <t xml:space="preserve">Dueño</t>
  </si>
  <si>
    <t xml:space="preserve">Fecha</t>
  </si>
  <si>
    <t xml:space="preserve">Los 20 pedidos seguidos pasaron el 71% de su ciclo quietos, con 3 h 20 min promedio alistados esperando cargue.</t>
  </si>
  <si>
    <t xml:space="preserve">Hoja 6 + fotos de staging 15:40</t>
  </si>
  <si>
    <t xml:space="preserve">Se alista contra el corte y no contra la hora de cita del vehículo.</t>
  </si>
  <si>
    <t xml:space="preserve">Publicar la programación de citas en alistamiento y alistar por hora de cita.</t>
  </si>
  <si>
    <t xml:space="preserve">15/09/2026</t>
  </si>
  <si>
    <t xml:space="preserve">EN LA REUNIÓN DE CIERRE — Devuelve tres hallazgos, no quince. Deja la solicitud de datos firmada. Acuerda UNA sola acción que empiece mañana. Y fija la segunda visita en otro día de la semana: un lunes y un viernes son operaciones distintas, y el porcentaje de espera del pedido cambia con el perfil de carga.</t>
  </si>
  <si>
    <t xml:space="preserve">GLOSARIO</t>
  </si>
  <si>
    <t xml:space="preserve">Para que cualquiera del equipo pueda usar este archivo sin tener que preguntar qué significa cada término.</t>
  </si>
  <si>
    <t xml:space="preserve">Término</t>
  </si>
  <si>
    <t xml:space="preserve">Por qué importa en esta evaluación</t>
  </si>
  <si>
    <t xml:space="preserve">CEDI</t>
  </si>
  <si>
    <t xml:space="preserve">Centro de distribución: la bodega donde se recibe, almacena, alista y despacha.</t>
  </si>
  <si>
    <t xml:space="preserve">Es la unidad que estás evaluando.</t>
  </si>
  <si>
    <t xml:space="preserve">Cada referencia distinta de producto. Dos sabores del mismo artículo son dos SKU.</t>
  </si>
  <si>
    <t xml:space="preserve">Los SKU parecidos entre sí son la causa más común de error de despacho.</t>
  </si>
  <si>
    <t xml:space="preserve">Línea de pedido</t>
  </si>
  <si>
    <t xml:space="preserve">Cada renglón de un pedido: un SKU con su cantidad.</t>
  </si>
  <si>
    <t xml:space="preserve">Es el denominador de casi todo: productividad, errores y agotados.</t>
  </si>
  <si>
    <t xml:space="preserve">Ciclo del pedido</t>
  </si>
  <si>
    <t xml:space="preserve">Tiempo total desde que el pedido se libera hasta que el vehículo sale.</t>
  </si>
  <si>
    <t xml:space="preserve">Es la medida que ve el cliente. Todo lo demás es interno.</t>
  </si>
  <si>
    <t xml:space="preserve">Tiempo de espera del pedido</t>
  </si>
  <si>
    <t xml:space="preserve">La parte del ciclo en que el pedido no avanza: ni se alista ni se carga.</t>
  </si>
  <si>
    <t xml:space="preserve">En la mayoría de CEDI es 60 a 80% del ciclo. Es el número que reencuadra la conversación.</t>
  </si>
  <si>
    <t xml:space="preserve">Posición</t>
  </si>
  <si>
    <t xml:space="preserve">Cada hueco de almacenamiento donde cabe un pallet o una cantidad definida.</t>
  </si>
  <si>
    <t xml:space="preserve">La ocupación se mide sobre posiciones, no sobre metros cuadrados.</t>
  </si>
  <si>
    <t xml:space="preserve">Cara de picking</t>
  </si>
  <si>
    <t xml:space="preserve">El frente de posiciones desde donde el operario toma producto para los pedidos.</t>
  </si>
  <si>
    <t xml:space="preserve">Es lo que se recorre en los barridos. No incluye el almacenamiento en altura.</t>
  </si>
  <si>
    <t xml:space="preserve">Ocupación</t>
  </si>
  <si>
    <t xml:space="preserve">Porcentaje de posiciones ocupadas sobre las habilitadas.</t>
  </si>
  <si>
    <t xml:space="preserve">Por encima de 90% la operación entra en congestión.</t>
  </si>
  <si>
    <t xml:space="preserve">Capacidad fantasma</t>
  </si>
  <si>
    <t xml:space="preserve">Posiciones que el sistema ve ocupadas pero que están a medio llenar.</t>
  </si>
  <si>
    <t xml:space="preserve">Es espacio que se recupera consolidando, sin comprar un metro más.</t>
  </si>
  <si>
    <t xml:space="preserve">Efecto panal</t>
  </si>
  <si>
    <t xml:space="preserve">Huecos inutilizables que quedan entre producto mal acomodado.</t>
  </si>
  <si>
    <t xml:space="preserve">Es la forma física de la capacidad fantasma.</t>
  </si>
  <si>
    <t xml:space="preserve">Alistamiento (picking)</t>
  </si>
  <si>
    <t xml:space="preserve">Tomar de las posiciones los productos que pide un pedido.</t>
  </si>
  <si>
    <t xml:space="preserve">Es donde se concentra la mano de obra y donde nacen los errores.</t>
  </si>
  <si>
    <t xml:space="preserve">Slotting</t>
  </si>
  <si>
    <t xml:space="preserve">La decisión de qué producto va en cuál posición.</t>
  </si>
  <si>
    <t xml:space="preserve">Un slotting desactualizado hace caminar de más al operario todo el día.</t>
  </si>
  <si>
    <t xml:space="preserve">Zona dorada</t>
  </si>
  <si>
    <t xml:space="preserve">Las posiciones entre cintura y hombro, cerca del muelle.</t>
  </si>
  <si>
    <t xml:space="preserve">Ahí deben estar los SKU de mayor rotación.</t>
  </si>
  <si>
    <t xml:space="preserve">Mover producto desde almacenamiento hasta la cara de picking.</t>
  </si>
  <si>
    <t xml:space="preserve">Si va detrás del alistamiento, el operario se queda sin producto.</t>
  </si>
  <si>
    <t xml:space="preserve">Ola</t>
  </si>
  <si>
    <t xml:space="preserve">Reabastecer o alistar por bloques planificados en lugar de por demanda inmediata.</t>
  </si>
  <si>
    <t xml:space="preserve">El reabastecimiento en ola antes del turno elimina la mayoría de los agotados.</t>
  </si>
  <si>
    <t xml:space="preserve">Punto de reorden</t>
  </si>
  <si>
    <t xml:space="preserve">Nivel de inventario en la posición de picking que dispara la reposición.</t>
  </si>
  <si>
    <t xml:space="preserve">Sin punto de reorden, el agotado depende de que alguien lo vea a tiempo.</t>
  </si>
  <si>
    <t xml:space="preserve">Agotado interno</t>
  </si>
  <si>
    <t xml:space="preserve">Posición de picking vacía habiendo pedido pendiente.</t>
  </si>
  <si>
    <t xml:space="preserve">Detiene al operario y muchas veces termina en un faltante al cliente.</t>
  </si>
  <si>
    <t xml:space="preserve">Short pick</t>
  </si>
  <si>
    <t xml:space="preserve">Línea que se alista incompleta porque no había producto suficiente.</t>
  </si>
  <si>
    <t xml:space="preserve">Es el agotado visto desde el sistema. Sirve para validar lo que observaste.</t>
  </si>
  <si>
    <t xml:space="preserve">Staging</t>
  </si>
  <si>
    <t xml:space="preserve">Zona donde se acumula el pedido alistado mientras espera el vehículo.</t>
  </si>
  <si>
    <t xml:space="preserve">Un staging desbordado indica falta de sincronización, no falta de gente.</t>
  </si>
  <si>
    <t xml:space="preserve">Secuencia de cargue</t>
  </si>
  <si>
    <t xml:space="preserve">El orden en que se sube la mercancía al vehículo.</t>
  </si>
  <si>
    <t xml:space="preserve">Lo último en cargar debe ser lo primero en entregar. Ahorra tiempo en cada parada.</t>
  </si>
  <si>
    <t xml:space="preserve">Ventana de cita</t>
  </si>
  <si>
    <t xml:space="preserve">Franja horaria asignada a un vehículo para cargar.</t>
  </si>
  <si>
    <t xml:space="preserve">Es la referencia contra la cual se mide si se alistó en el orden correcto.</t>
  </si>
  <si>
    <t xml:space="preserve">Corte de pedidos</t>
  </si>
  <si>
    <t xml:space="preserve">Hora límite para recibir pedidos que salen ese mismo día.</t>
  </si>
  <si>
    <t xml:space="preserve">Las tres horas anteriores concentran el pico, los errores y las esperas.</t>
  </si>
  <si>
    <t xml:space="preserve">Dock-to-stock</t>
  </si>
  <si>
    <t xml:space="preserve">Horas entre que llega el camión y el producto queda disponible para alistar.</t>
  </si>
  <si>
    <t xml:space="preserve">Si supera 8 horas, el producto se queda en piso: es lo que ves como CEDI lleno.</t>
  </si>
  <si>
    <t xml:space="preserve">ERI</t>
  </si>
  <si>
    <t xml:space="preserve">Exactitud del Registro de Inventario: qué porcentaje de ubicaciones tiene lo que el sistema dice.</t>
  </si>
  <si>
    <t xml:space="preserve">Con ERI bajo el operario trabaja con información falsa y todo lo demás rinde poco.</t>
  </si>
  <si>
    <t xml:space="preserve">Conteo ciego</t>
  </si>
  <si>
    <t xml:space="preserve">Contar sin ver la cantidad que dice el sistema.</t>
  </si>
  <si>
    <t xml:space="preserve">Es la única forma de medir el ERI sin sesgo.</t>
  </si>
  <si>
    <t xml:space="preserve">Conteo cíclico</t>
  </si>
  <si>
    <t xml:space="preserve">Conteos parciales y frecuentes en vez de un inventario general al año.</t>
  </si>
  <si>
    <t xml:space="preserve">Es lo que mantiene el ERI alto en el tiempo.</t>
  </si>
  <si>
    <t xml:space="preserve">Clasificación ABC</t>
  </si>
  <si>
    <t xml:space="preserve">Ordenar los SKU por participación en las salidas: A los que más salen, C los que menos.</t>
  </si>
  <si>
    <t xml:space="preserve">Define dónde debe estar cada producto y cuánto inventario tener.</t>
  </si>
  <si>
    <t xml:space="preserve">Order fill rate</t>
  </si>
  <si>
    <t xml:space="preserve">Porcentaje de líneas despachadas completas sobre las pedidas.</t>
  </si>
  <si>
    <t xml:space="preserve">Mide si el cliente recibió lo que pidió.</t>
  </si>
  <si>
    <t xml:space="preserve">Pedido perfecto</t>
  </si>
  <si>
    <t xml:space="preserve">A tiempo, completo, sin daño y con documento correcto. Se multiplican entre sí.</t>
  </si>
  <si>
    <t xml:space="preserve">Es el indicador que resume la confiabilidad del despacho.</t>
  </si>
  <si>
    <t xml:space="preserve">Poka-yoke</t>
  </si>
  <si>
    <t xml:space="preserve">Un control que hace imposible el error, no que lo detecta después.</t>
  </si>
  <si>
    <t xml:space="preserve">Escaneo obligatorio o verificación por peso valen más que cualquier capacitación.</t>
  </si>
  <si>
    <t xml:space="preserve">Gemba</t>
  </si>
  <si>
    <t xml:space="preserve">El lugar donde ocurre el trabajo real.</t>
  </si>
  <si>
    <t xml:space="preserve">La evaluación se hace en el piso, no en la sala de juntas.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</si>
</sst>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"/>
    <numFmt numFmtId="167" formatCode="0.00"/>
    <numFmt numFmtId="168" formatCode="0%"/>
    <numFmt numFmtId="169" formatCode="General"/>
    <numFmt numFmtId="170" formatCode="0.0"/>
    <numFmt numFmtId="171" formatCode="\+0.0%;\-0.0%;0.0%"/>
    <numFmt numFmtId="172" formatCode="hh:mm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9"/>
      <color rgb="FF0A3A5C"/>
      <name val="Arial"/>
      <family val="0"/>
      <charset val="1"/>
    </font>
    <font>
      <sz val="11"/>
      <color rgb="FF9A6E00"/>
      <name val="Arial"/>
      <family val="0"/>
      <charset val="1"/>
    </font>
    <font>
      <sz val="10"/>
      <color rgb="FF46525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A1F26"/>
      <name val="Arial"/>
      <family val="0"/>
      <charset val="1"/>
    </font>
    <font>
      <sz val="10"/>
      <color rgb="FF00329B"/>
      <name val="Arial"/>
      <family val="0"/>
      <charset val="1"/>
    </font>
    <font>
      <b val="true"/>
      <sz val="9"/>
      <color rgb="FF9A6E00"/>
      <name val="Arial"/>
      <family val="0"/>
      <charset val="1"/>
    </font>
    <font>
      <sz val="10"/>
      <color rgb="FF1A1F26"/>
      <name val="Arial"/>
      <family val="0"/>
      <charset val="1"/>
    </font>
    <font>
      <b val="true"/>
      <sz val="9"/>
      <color rgb="FF0A3A5C"/>
      <name val="Arial"/>
      <family val="0"/>
      <charset val="1"/>
    </font>
    <font>
      <sz val="9"/>
      <color rgb="FF6E7A86"/>
      <name val="Arial"/>
      <family val="0"/>
      <charset val="1"/>
    </font>
    <font>
      <b val="true"/>
      <sz val="15"/>
      <color rgb="FF0A3A5C"/>
      <name val="Arial"/>
      <family val="0"/>
      <charset val="1"/>
    </font>
    <font>
      <sz val="9.5"/>
      <color rgb="FF56626E"/>
      <name val="Arial"/>
      <family val="0"/>
      <charset val="1"/>
    </font>
    <font>
      <b val="true"/>
      <sz val="13"/>
      <color rgb="FF0A3A5C"/>
      <name val="Arial"/>
      <family val="0"/>
      <charset val="1"/>
    </font>
    <font>
      <sz val="9.5"/>
      <color rgb="FF46525E"/>
      <name val="Arial"/>
      <family val="0"/>
      <charset val="1"/>
    </font>
    <font>
      <sz val="9"/>
      <color rgb="FF17683F"/>
      <name val="Arial"/>
      <family val="0"/>
      <charset val="1"/>
    </font>
    <font>
      <b val="true"/>
      <sz val="9"/>
      <color rgb="FF46525E"/>
      <name val="Arial"/>
      <family val="0"/>
      <charset val="1"/>
    </font>
    <font>
      <b val="true"/>
      <sz val="9"/>
      <color rgb="FF17683F"/>
      <name val="Arial"/>
      <family val="0"/>
      <charset val="1"/>
    </font>
    <font>
      <i val="true"/>
      <sz val="9"/>
      <color rgb="FF8C949C"/>
      <name val="Arial"/>
      <family val="0"/>
      <charset val="1"/>
    </font>
    <font>
      <b val="true"/>
      <sz val="10.5"/>
      <color rgb="FF0A3A5C"/>
      <name val="Arial"/>
      <family val="0"/>
      <charset val="1"/>
    </font>
    <font>
      <sz val="9"/>
      <color rgb="FF8C949C"/>
      <name val="Arial"/>
      <family val="0"/>
      <charset val="1"/>
    </font>
    <font>
      <b val="true"/>
      <sz val="12"/>
      <color rgb="FF0A3A5C"/>
      <name val="Arial"/>
      <family val="0"/>
      <charset val="1"/>
    </font>
    <font>
      <b val="true"/>
      <sz val="10"/>
      <color rgb="FF0A3A5C"/>
      <name val="Arial"/>
      <family val="0"/>
      <charset val="1"/>
    </font>
    <font>
      <b val="true"/>
      <sz val="12"/>
      <color rgb="FF1A1F26"/>
      <name val="Arial"/>
      <family val="0"/>
      <charset val="1"/>
    </font>
    <font>
      <b val="true"/>
      <sz val="11"/>
      <color rgb="FF00329B"/>
      <name val="Arial"/>
      <family val="0"/>
      <charset val="1"/>
    </font>
    <font>
      <sz val="9"/>
      <color rgb="FF8A5500"/>
      <name val="Arial"/>
      <family val="0"/>
      <charset val="1"/>
    </font>
    <font>
      <sz val="10"/>
      <color rgb="FF9E2420"/>
      <name val="Arial"/>
      <family val="0"/>
      <charset val="1"/>
    </font>
    <font>
      <b val="true"/>
      <sz val="10"/>
      <color rgb="FF17683F"/>
      <name val="Arial"/>
      <family val="0"/>
      <charset val="1"/>
    </font>
    <font>
      <b val="true"/>
      <sz val="9"/>
      <color rgb="FF9E242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E4E7C"/>
        <bgColor rgb="FF0A3A5C"/>
      </patternFill>
    </fill>
    <fill>
      <patternFill patternType="solid">
        <fgColor rgb="FFE4E9ED"/>
        <bgColor rgb="FFE1F0E8"/>
      </patternFill>
    </fill>
    <fill>
      <patternFill patternType="solid">
        <fgColor rgb="FFFFF6D9"/>
        <bgColor rgb="FFFBF0D8"/>
      </patternFill>
    </fill>
    <fill>
      <patternFill patternType="solid">
        <fgColor rgb="FF9A6E00"/>
        <bgColor rgb="FF8A5500"/>
      </patternFill>
    </fill>
    <fill>
      <patternFill patternType="solid">
        <fgColor rgb="FFF4F6F8"/>
        <bgColor rgb="FFFAFBFC"/>
      </patternFill>
    </fill>
    <fill>
      <patternFill patternType="solid">
        <fgColor rgb="FFFAFBFC"/>
        <bgColor rgb="FFFFFFFF"/>
      </patternFill>
    </fill>
    <fill>
      <patternFill patternType="solid">
        <fgColor rgb="FFE1F0E8"/>
        <bgColor rgb="FFE4E9ED"/>
      </patternFill>
    </fill>
    <fill>
      <patternFill patternType="solid">
        <fgColor rgb="FF1B7A4C"/>
        <bgColor rgb="FF17683F"/>
      </patternFill>
    </fill>
    <fill>
      <patternFill patternType="solid">
        <fgColor rgb="FF9E2420"/>
        <bgColor rgb="FF9933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3CCD4"/>
      </left>
      <right style="thin">
        <color rgb="FFC3CCD4"/>
      </right>
      <top style="thin">
        <color rgb="FFC3CCD4"/>
      </top>
      <bottom style="thin">
        <color rgb="FFC3CCD4"/>
      </bottom>
      <diagonal/>
    </border>
    <border diagonalUp="false" diagonalDown="false">
      <left style="thin">
        <color rgb="FFC3CCD4"/>
      </left>
      <right/>
      <top style="thin">
        <color rgb="FFC3CCD4"/>
      </top>
      <bottom style="thin">
        <color rgb="FFC3CCD4"/>
      </bottom>
      <diagonal/>
    </border>
    <border diagonalUp="false" diagonalDown="false">
      <left style="thin">
        <color rgb="FFC3CCD4"/>
      </left>
      <right style="thin">
        <color rgb="FFC3CCD4"/>
      </right>
      <top style="thin">
        <color rgb="FFC3CCD4"/>
      </top>
      <bottom style="medium">
        <color rgb="FF9AA5AE"/>
      </bottom>
      <diagonal/>
    </border>
    <border diagonalUp="false" diagonalDown="false">
      <left style="thin">
        <color rgb="FFC3CCD4"/>
      </left>
      <right style="thin">
        <color rgb="FFC3CCD4"/>
      </right>
      <top style="medium">
        <color rgb="FF0E4E7C"/>
      </top>
      <bottom style="thin">
        <color rgb="FFC3CC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6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7" fillId="9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21" fillId="7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1" fillId="7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2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7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9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Arial"/>
        <charset val="1"/>
        <family val="0"/>
        <b val="1"/>
        <color rgb="FF9E2420"/>
        <sz val="10"/>
      </font>
      <fill>
        <patternFill>
          <bgColor rgb="FFF9E4E3"/>
        </patternFill>
      </fill>
    </dxf>
    <dxf>
      <font>
        <name val="Arial"/>
        <charset val="1"/>
        <family val="0"/>
        <b val="1"/>
        <color rgb="FF8A5500"/>
        <sz val="10"/>
      </font>
      <fill>
        <patternFill>
          <bgColor rgb="FFFBF0D8"/>
        </patternFill>
      </fill>
    </dxf>
    <dxf>
      <font>
        <name val="Arial"/>
        <charset val="1"/>
        <family val="0"/>
        <b val="1"/>
        <color rgb="FF17683F"/>
        <sz val="10"/>
      </font>
      <fill>
        <patternFill>
          <bgColor rgb="FFE1F0E8"/>
        </patternFill>
      </fill>
    </dxf>
    <dxf>
      <fill>
        <patternFill>
          <bgColor rgb="FFFDF3F2"/>
        </patternFill>
      </fill>
    </dxf>
    <dxf>
      <font>
        <name val="Arial"/>
        <charset val="1"/>
        <family val="0"/>
        <b val="1"/>
        <color rgb="FF9E2420"/>
        <sz val="10"/>
      </font>
      <fill>
        <patternFill>
          <bgColor rgb="FFF9E4E3"/>
        </patternFill>
      </fill>
    </dxf>
    <dxf>
      <font>
        <name val="Arial"/>
        <charset val="1"/>
        <family val="0"/>
        <b val="1"/>
        <color rgb="FF8A5500"/>
        <sz val="10"/>
      </font>
      <fill>
        <patternFill>
          <bgColor rgb="FFFBF0D8"/>
        </patternFill>
      </fill>
    </dxf>
    <dxf>
      <font>
        <name val="Arial"/>
        <charset val="1"/>
        <family val="0"/>
        <b val="1"/>
        <color rgb="FF9E2420"/>
        <sz val="13"/>
      </font>
      <fill>
        <patternFill>
          <bgColor rgb="FFF9E4E3"/>
        </patternFill>
      </fill>
    </dxf>
    <dxf>
      <font>
        <name val="Arial"/>
        <charset val="1"/>
        <family val="0"/>
        <b val="1"/>
        <color rgb="FF9E2420"/>
        <sz val="12"/>
      </font>
      <fill>
        <patternFill>
          <bgColor rgb="FFF9E4E3"/>
        </patternFill>
      </fill>
    </dxf>
    <dxf>
      <font>
        <name val="Arial"/>
        <charset val="1"/>
        <family val="0"/>
        <b val="1"/>
        <color rgb="FF17683F"/>
        <sz val="12"/>
      </font>
      <fill>
        <patternFill>
          <bgColor rgb="FFE1F0E8"/>
        </patternFill>
      </fill>
    </dxf>
    <dxf>
      <font>
        <name val="Arial"/>
        <charset val="1"/>
        <family val="0"/>
        <color rgb="FF9E2420"/>
        <sz val="10"/>
      </font>
      <fill>
        <patternFill>
          <bgColor rgb="FFF9E4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83F"/>
      <rgbColor rgb="FF000080"/>
      <rgbColor rgb="FF9A6E00"/>
      <rgbColor rgb="FF800080"/>
      <rgbColor rgb="FF1B7A4C"/>
      <rgbColor rgb="FFC3CCD4"/>
      <rgbColor rgb="FF6E7A86"/>
      <rgbColor rgb="FF9AA5AE"/>
      <rgbColor rgb="FF8A5500"/>
      <rgbColor rgb="FFFFF6D9"/>
      <rgbColor rgb="FFE1F0E8"/>
      <rgbColor rgb="FF660066"/>
      <rgbColor rgb="FFFF8080"/>
      <rgbColor rgb="FF0E4E7C"/>
      <rgbColor rgb="FFFDF3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9ED"/>
      <rgbColor rgb="FFF4F6F8"/>
      <rgbColor rgb="FFFBF0D8"/>
      <rgbColor rgb="FFFAFBFC"/>
      <rgbColor rgb="FFFF99CC"/>
      <rgbColor rgb="FFCC99FF"/>
      <rgbColor rgb="FFF9E4E3"/>
      <rgbColor rgb="FF3366FF"/>
      <rgbColor rgb="FF33CCCC"/>
      <rgbColor rgb="FF99CC00"/>
      <rgbColor rgb="FFFFCC00"/>
      <rgbColor rgb="FFFF9900"/>
      <rgbColor rgb="FFFF6600"/>
      <rgbColor rgb="FF56626E"/>
      <rgbColor rgb="FF8C949C"/>
      <rgbColor rgb="FF0A3A5C"/>
      <rgbColor rgb="FF339966"/>
      <rgbColor rgb="FF003300"/>
      <rgbColor rgb="FF46525E"/>
      <rgbColor rgb="FF9E2420"/>
      <rgbColor rgb="FF993366"/>
      <rgbColor rgb="FF00329B"/>
      <rgbColor rgb="FF1A1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4E7C"/>
    <pageSetUpPr fitToPage="true"/>
  </sheetPr>
  <dimension ref="B2:E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3"/>
  </cols>
  <sheetData>
    <row r="2" customFormat="false" ht="31.5" hidden="false" customHeight="true" outlineLevel="0" collapsed="false">
      <c r="B2" s="1" t="s">
        <v>0</v>
      </c>
      <c r="C2" s="1"/>
      <c r="D2" s="1"/>
      <c r="E2" s="1"/>
    </row>
    <row r="3" customFormat="false" ht="15" hidden="false" customHeight="false" outlineLevel="0" collapsed="false">
      <c r="B3" s="2" t="s">
        <v>1</v>
      </c>
      <c r="C3" s="2"/>
      <c r="D3" s="2"/>
      <c r="E3" s="2"/>
    </row>
    <row r="5" customFormat="false" ht="15.75" hidden="false" customHeight="true" outlineLevel="0" collapsed="false">
      <c r="B5" s="3" t="s">
        <v>2</v>
      </c>
      <c r="C5" s="3"/>
      <c r="D5" s="3"/>
      <c r="E5" s="3"/>
    </row>
    <row r="6" customFormat="false" ht="15.75" hidden="false" customHeight="true" outlineLevel="0" collapsed="false">
      <c r="B6" s="3"/>
      <c r="C6" s="3"/>
      <c r="D6" s="3"/>
      <c r="E6" s="3"/>
    </row>
    <row r="7" customFormat="false" ht="15.75" hidden="false" customHeight="true" outlineLevel="0" collapsed="false">
      <c r="B7" s="3"/>
      <c r="C7" s="3"/>
      <c r="D7" s="3"/>
      <c r="E7" s="3"/>
    </row>
    <row r="9" customFormat="false" ht="18.75" hidden="false" customHeight="true" outlineLevel="0" collapsed="false">
      <c r="B9" s="4" t="s">
        <v>3</v>
      </c>
      <c r="C9" s="4"/>
      <c r="D9" s="4"/>
      <c r="E9" s="4"/>
    </row>
    <row r="10" customFormat="false" ht="18.75" hidden="false" customHeight="true" outlineLevel="0" collapsed="false">
      <c r="B10" s="5" t="s">
        <v>4</v>
      </c>
      <c r="C10" s="6" t="s">
        <v>5</v>
      </c>
    </row>
    <row r="11" customFormat="false" ht="18.75" hidden="false" customHeight="true" outlineLevel="0" collapsed="false">
      <c r="B11" s="5" t="s">
        <v>6</v>
      </c>
      <c r="C11" s="6"/>
    </row>
    <row r="12" customFormat="false" ht="18.75" hidden="false" customHeight="true" outlineLevel="0" collapsed="false">
      <c r="B12" s="5" t="s">
        <v>7</v>
      </c>
      <c r="C12" s="6"/>
    </row>
    <row r="13" customFormat="false" ht="18.75" hidden="false" customHeight="true" outlineLevel="0" collapsed="false">
      <c r="B13" s="5" t="s">
        <v>8</v>
      </c>
      <c r="C13" s="6"/>
    </row>
    <row r="14" customFormat="false" ht="18.75" hidden="false" customHeight="true" outlineLevel="0" collapsed="false">
      <c r="B14" s="5" t="s">
        <v>9</v>
      </c>
      <c r="C14" s="6"/>
    </row>
    <row r="15" customFormat="false" ht="18.75" hidden="false" customHeight="true" outlineLevel="0" collapsed="false">
      <c r="B15" s="5" t="s">
        <v>10</v>
      </c>
      <c r="C15" s="6"/>
    </row>
    <row r="16" customFormat="false" ht="18.75" hidden="false" customHeight="true" outlineLevel="0" collapsed="false">
      <c r="B16" s="5" t="s">
        <v>11</v>
      </c>
      <c r="C16" s="6"/>
    </row>
    <row r="17" customFormat="false" ht="18.75" hidden="false" customHeight="true" outlineLevel="0" collapsed="false">
      <c r="B17" s="5" t="s">
        <v>12</v>
      </c>
      <c r="C17" s="6"/>
    </row>
    <row r="19" customFormat="false" ht="18.75" hidden="false" customHeight="true" outlineLevel="0" collapsed="false">
      <c r="B19" s="7" t="s">
        <v>13</v>
      </c>
      <c r="C19" s="7"/>
      <c r="D19" s="7"/>
      <c r="E19" s="7"/>
    </row>
    <row r="20" customFormat="false" ht="21.75" hidden="false" customHeight="true" outlineLevel="0" collapsed="false">
      <c r="B20" s="8" t="s">
        <v>14</v>
      </c>
      <c r="C20" s="8" t="s">
        <v>15</v>
      </c>
      <c r="D20" s="8" t="s">
        <v>16</v>
      </c>
    </row>
    <row r="21" customFormat="false" ht="25.5" hidden="false" customHeight="true" outlineLevel="0" collapsed="false">
      <c r="B21" s="9" t="s">
        <v>17</v>
      </c>
      <c r="C21" s="10" t="s">
        <v>18</v>
      </c>
      <c r="D21" s="11" t="s">
        <v>19</v>
      </c>
      <c r="E21" s="12"/>
    </row>
    <row r="22" customFormat="false" ht="25.5" hidden="false" customHeight="true" outlineLevel="0" collapsed="false">
      <c r="B22" s="9" t="s">
        <v>20</v>
      </c>
      <c r="C22" s="10" t="s">
        <v>21</v>
      </c>
      <c r="D22" s="11" t="s">
        <v>22</v>
      </c>
      <c r="E22" s="12"/>
    </row>
    <row r="23" customFormat="false" ht="25.5" hidden="false" customHeight="true" outlineLevel="0" collapsed="false">
      <c r="B23" s="9" t="s">
        <v>20</v>
      </c>
      <c r="C23" s="10" t="s">
        <v>23</v>
      </c>
      <c r="D23" s="11" t="s">
        <v>24</v>
      </c>
      <c r="E23" s="12"/>
    </row>
    <row r="24" customFormat="false" ht="25.5" hidden="false" customHeight="true" outlineLevel="0" collapsed="false">
      <c r="B24" s="9" t="s">
        <v>25</v>
      </c>
      <c r="C24" s="10" t="s">
        <v>26</v>
      </c>
      <c r="D24" s="11" t="s">
        <v>27</v>
      </c>
      <c r="E24" s="12"/>
    </row>
    <row r="25" customFormat="false" ht="25.5" hidden="false" customHeight="true" outlineLevel="0" collapsed="false">
      <c r="B25" s="9" t="s">
        <v>25</v>
      </c>
      <c r="C25" s="10" t="s">
        <v>28</v>
      </c>
      <c r="D25" s="11" t="s">
        <v>29</v>
      </c>
      <c r="E25" s="12"/>
    </row>
    <row r="26" customFormat="false" ht="25.5" hidden="false" customHeight="true" outlineLevel="0" collapsed="false">
      <c r="B26" s="9" t="s">
        <v>30</v>
      </c>
      <c r="C26" s="10" t="s">
        <v>31</v>
      </c>
      <c r="D26" s="11" t="s">
        <v>32</v>
      </c>
      <c r="E26" s="12"/>
    </row>
    <row r="27" customFormat="false" ht="25.5" hidden="false" customHeight="true" outlineLevel="0" collapsed="false">
      <c r="B27" s="9" t="s">
        <v>33</v>
      </c>
      <c r="C27" s="10" t="s">
        <v>34</v>
      </c>
      <c r="D27" s="11" t="s">
        <v>24</v>
      </c>
      <c r="E27" s="12"/>
    </row>
    <row r="28" customFormat="false" ht="25.5" hidden="false" customHeight="true" outlineLevel="0" collapsed="false">
      <c r="B28" s="9" t="s">
        <v>35</v>
      </c>
      <c r="C28" s="10" t="s">
        <v>36</v>
      </c>
      <c r="D28" s="11" t="s">
        <v>37</v>
      </c>
      <c r="E28" s="12"/>
    </row>
    <row r="29" customFormat="false" ht="25.5" hidden="false" customHeight="true" outlineLevel="0" collapsed="false">
      <c r="B29" s="9" t="s">
        <v>38</v>
      </c>
      <c r="C29" s="10" t="s">
        <v>39</v>
      </c>
      <c r="D29" s="11" t="s">
        <v>40</v>
      </c>
      <c r="E29" s="12"/>
    </row>
    <row r="30" customFormat="false" ht="25.5" hidden="false" customHeight="true" outlineLevel="0" collapsed="false">
      <c r="B30" s="9" t="s">
        <v>41</v>
      </c>
      <c r="C30" s="10" t="s">
        <v>42</v>
      </c>
      <c r="D30" s="11" t="s">
        <v>43</v>
      </c>
      <c r="E30" s="12"/>
    </row>
    <row r="31" customFormat="false" ht="25.5" hidden="false" customHeight="true" outlineLevel="0" collapsed="false">
      <c r="B31" s="9" t="s">
        <v>41</v>
      </c>
      <c r="C31" s="10" t="s">
        <v>44</v>
      </c>
      <c r="D31" s="11" t="s">
        <v>45</v>
      </c>
      <c r="E31" s="12"/>
    </row>
    <row r="32" customFormat="false" ht="25.5" hidden="false" customHeight="true" outlineLevel="0" collapsed="false">
      <c r="B32" s="9" t="s">
        <v>46</v>
      </c>
      <c r="C32" s="10" t="s">
        <v>47</v>
      </c>
      <c r="D32" s="11" t="s">
        <v>48</v>
      </c>
      <c r="E32" s="12"/>
    </row>
    <row r="34" customFormat="false" ht="18.75" hidden="false" customHeight="true" outlineLevel="0" collapsed="false">
      <c r="B34" s="4" t="s">
        <v>49</v>
      </c>
      <c r="C34" s="4"/>
      <c r="D34" s="4"/>
      <c r="E34" s="4"/>
    </row>
    <row r="35" customFormat="false" ht="21.75" hidden="false" customHeight="true" outlineLevel="0" collapsed="false">
      <c r="B35" s="13" t="s">
        <v>50</v>
      </c>
      <c r="C35" s="14" t="s">
        <v>51</v>
      </c>
      <c r="D35" s="14"/>
      <c r="E35" s="14"/>
    </row>
    <row r="36" customFormat="false" ht="21.75" hidden="false" customHeight="true" outlineLevel="0" collapsed="false">
      <c r="B36" s="15" t="s">
        <v>52</v>
      </c>
      <c r="C36" s="14" t="s">
        <v>53</v>
      </c>
      <c r="D36" s="14"/>
      <c r="E36" s="14"/>
    </row>
    <row r="37" customFormat="false" ht="21.75" hidden="false" customHeight="true" outlineLevel="0" collapsed="false">
      <c r="B37" s="16" t="s">
        <v>54</v>
      </c>
      <c r="C37" s="14" t="s">
        <v>55</v>
      </c>
      <c r="D37" s="14"/>
      <c r="E37" s="14"/>
    </row>
    <row r="38" customFormat="false" ht="21.75" hidden="false" customHeight="true" outlineLevel="0" collapsed="false">
      <c r="B38" s="17" t="s">
        <v>56</v>
      </c>
      <c r="C38" s="14" t="s">
        <v>57</v>
      </c>
      <c r="D38" s="14"/>
      <c r="E38" s="14"/>
    </row>
    <row r="40" customFormat="false" ht="15" hidden="false" customHeight="true" outlineLevel="0" collapsed="false">
      <c r="B40" s="18" t="s">
        <v>58</v>
      </c>
      <c r="C40" s="18"/>
      <c r="D40" s="18"/>
      <c r="E40" s="18"/>
    </row>
    <row r="41" customFormat="false" ht="15" hidden="false" customHeight="false" outlineLevel="0" collapsed="false">
      <c r="B41" s="18"/>
      <c r="C41" s="18"/>
      <c r="D41" s="18"/>
      <c r="E41" s="18"/>
    </row>
    <row r="42" customFormat="false" ht="15" hidden="false" customHeight="false" outlineLevel="0" collapsed="false">
      <c r="B42" s="18"/>
      <c r="C42" s="18"/>
      <c r="D42" s="18"/>
      <c r="E42" s="18"/>
    </row>
  </sheetData>
  <mergeCells count="11">
    <mergeCell ref="B2:E2"/>
    <mergeCell ref="B3:E3"/>
    <mergeCell ref="B5:E7"/>
    <mergeCell ref="B9:E9"/>
    <mergeCell ref="B19:E19"/>
    <mergeCell ref="B34:E34"/>
    <mergeCell ref="C35:E35"/>
    <mergeCell ref="C36:E36"/>
    <mergeCell ref="C37:E37"/>
    <mergeCell ref="C38:E38"/>
    <mergeCell ref="B40:E42"/>
  </mergeCells>
  <dataValidations count="1">
    <dataValidation allowBlank="true" errorStyle="stop" operator="between" prompt="La hora de corte es el eje del día: las tres horas anteriores concentran el pico, los errores y las esperas." promptTitle="Datos de la visita" showDropDown="false" showErrorMessage="false" showInputMessage="true" sqref="C10:C17" type="non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4E7C"/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52"/>
    <col collapsed="false" customWidth="true" hidden="false" outlineLevel="0" max="6" min="6" style="0" width="50"/>
  </cols>
  <sheetData>
    <row r="1" customFormat="false" ht="25.5" hidden="false" customHeight="true" outlineLevel="0" collapsed="false">
      <c r="A1" s="19" t="s">
        <v>59</v>
      </c>
      <c r="B1" s="19"/>
      <c r="C1" s="19"/>
      <c r="D1" s="19"/>
      <c r="E1" s="19"/>
      <c r="F1" s="19"/>
    </row>
    <row r="2" customFormat="false" ht="15.75" hidden="false" customHeight="true" outlineLevel="0" collapsed="false">
      <c r="A2" s="20" t="s">
        <v>60</v>
      </c>
      <c r="B2" s="20"/>
      <c r="C2" s="20"/>
      <c r="D2" s="20"/>
      <c r="E2" s="20"/>
      <c r="F2" s="20"/>
    </row>
    <row r="4" customFormat="false" ht="33.75" hidden="false" customHeight="true" outlineLevel="0" collapsed="false">
      <c r="A4" s="8" t="s">
        <v>61</v>
      </c>
      <c r="B4" s="8" t="s">
        <v>62</v>
      </c>
      <c r="C4" s="8" t="s">
        <v>63</v>
      </c>
      <c r="D4" s="8" t="s">
        <v>64</v>
      </c>
      <c r="E4" s="8" t="s">
        <v>65</v>
      </c>
      <c r="F4" s="8" t="s">
        <v>66</v>
      </c>
    </row>
    <row r="5" customFormat="false" ht="42" hidden="false" customHeight="true" outlineLevel="0" collapsed="false">
      <c r="A5" s="21" t="s">
        <v>67</v>
      </c>
      <c r="B5" s="22" t="str">
        <f aca="false">IF('2 Ocupación y piso'!$F$42="","",'2 Ocupación y piso'!$F$42)</f>
        <v/>
      </c>
      <c r="C5" s="23" t="s">
        <v>68</v>
      </c>
      <c r="D5" s="24" t="str">
        <f aca="false">IF($B5="","—",IF($B5&gt;0.9,"CRÍTICO",IF($B5&gt;0.85,"ATENCIÓN","OK")))</f>
        <v>—</v>
      </c>
      <c r="E5" s="25" t="str">
        <f aca="false">IF($B5="","Pendiente de medir",IF($B5&gt;0.9,"Zona de congestión: la productividad que midas hoy está contaminada.",IF($B5&gt;0.85,"En el límite. Cada punto adicional de ocupación ya cuesta caro.","Ocupación sana. Si igual se siente lleno, el problema es de flujo, no de espacio.")))</f>
        <v>Pendiente de medir</v>
      </c>
      <c r="F5" s="26" t="s">
        <v>69</v>
      </c>
    </row>
    <row r="6" customFormat="false" ht="42" hidden="false" customHeight="true" outlineLevel="0" collapsed="false">
      <c r="A6" s="21" t="s">
        <v>70</v>
      </c>
      <c r="B6" s="22" t="str">
        <f aca="false">IF('2 Ocupación y piso'!$G$42="","",'2 Ocupación y piso'!$G$42)</f>
        <v/>
      </c>
      <c r="C6" s="23" t="s">
        <v>71</v>
      </c>
      <c r="D6" s="24" t="str">
        <f aca="false">IF($B6="","—",IF($B6&gt;0.15,"CRÍTICO",IF($B6&gt;0.1,"ATENCIÓN","OK")))</f>
        <v>—</v>
      </c>
      <c r="E6" s="25" t="str">
        <f aca="false">IF($B6="","Pendiente de medir",IF($B6&gt;0.15,"Posiciones que el sistema ve ocupadas y no almacenan nada.",IF($B6&gt;0.1,"Hay espacio recuperable sin comprar un metro más.","Sin efecto panal relevante.")))</f>
        <v>Pendiente de medir</v>
      </c>
      <c r="F6" s="26" t="s">
        <v>72</v>
      </c>
    </row>
    <row r="7" customFormat="false" ht="42" hidden="false" customHeight="true" outlineLevel="0" collapsed="false">
      <c r="A7" s="21" t="s">
        <v>73</v>
      </c>
      <c r="B7" s="27" t="str">
        <f aca="false">IF('2 Ocupación y piso'!$B$55="","",'2 Ocupación y piso'!$B$55)</f>
        <v/>
      </c>
      <c r="C7" s="23" t="s">
        <v>74</v>
      </c>
      <c r="D7" s="24" t="str">
        <f aca="false">IF($B7="","—",IF($B7&gt;30,"CRÍTICO",IF($B7&gt;0,"ATENCIÓN","OK")))</f>
        <v>—</v>
      </c>
      <c r="E7" s="25" t="str">
        <f aca="false">IF($B7="","Pendiente de medir",IF($B7&gt;30,"Backlog físico grande. Verificar a las 48 h cuántos siguen con la etiqueta original.",IF($B7&gt;0,"Verificar a las 48 h cuáles no se movieron.","Sin producto fuera de posición.")))</f>
        <v>Pendiente de medir</v>
      </c>
      <c r="F7" s="26" t="s">
        <v>75</v>
      </c>
    </row>
    <row r="8" customFormat="false" ht="42" hidden="false" customHeight="true" outlineLevel="0" collapsed="false">
      <c r="A8" s="21" t="s">
        <v>76</v>
      </c>
      <c r="B8" s="22" t="str">
        <f aca="false">IF('3 Ciclo picking'!$F$38="","",'3 Ciclo picking'!$F$38)</f>
        <v/>
      </c>
      <c r="C8" s="23" t="s">
        <v>77</v>
      </c>
      <c r="D8" s="24" t="str">
        <f aca="false">IF($B8="","—",IF($B8&gt;0.5,"CRÍTICO",IF($B8&gt;0.4,"ATENCIÓN","OK")))</f>
        <v>—</v>
      </c>
      <c r="E8" s="25" t="str">
        <f aca="false">IF($B8="","Pendiente de medir",IF($B8&gt;0.5,"El problema es el slotting, no la gente. Correr más rápido no arregla una ruta mal diseñada.",IF($B8&gt;0.4,"Alto pero manejable. Vale un re-slotting de los SKU de mayor rotación.","Desplazamiento razonable. La pérdida está en otra parte del flujo.")))</f>
        <v>Pendiente de medir</v>
      </c>
      <c r="F8" s="26" t="s">
        <v>78</v>
      </c>
    </row>
    <row r="9" customFormat="false" ht="42" hidden="false" customHeight="true" outlineLevel="0" collapsed="false">
      <c r="A9" s="21" t="s">
        <v>79</v>
      </c>
      <c r="B9" s="22" t="str">
        <f aca="false">IF('4 Conteo ciego'!$F$27="","",'4 Conteo ciego'!$F$27)</f>
        <v/>
      </c>
      <c r="C9" s="23" t="s">
        <v>80</v>
      </c>
      <c r="D9" s="24" t="str">
        <f aca="false">IF($B9="","—",IF($B9&lt;0.95,"CRÍTICO",IF($B9&lt;0.97,"ATENCIÓN","OK")))</f>
        <v>—</v>
      </c>
      <c r="E9" s="25" t="str">
        <f aca="false">IF($B9="","Pendiente de medir",IF($B9&lt;0.95,"El operario trabaja con información falsa. Es la causa raíz de casi todo lo demás.",IF($B9&lt;0.97,"Aceptable pero no confiable.","Buen ERI. Los problemas de despacho tienen otra causa.")))</f>
        <v>Pendiente de medir</v>
      </c>
      <c r="F9" s="26" t="s">
        <v>81</v>
      </c>
    </row>
    <row r="10" customFormat="false" ht="42" hidden="false" customHeight="true" outlineLevel="0" collapsed="false">
      <c r="A10" s="21" t="s">
        <v>82</v>
      </c>
      <c r="B10" s="22" t="str">
        <f aca="false">IF('5 Reabastecimiento'!$E$49="","",'5 Reabastecimiento'!$E$49)</f>
        <v/>
      </c>
      <c r="C10" s="23" t="s">
        <v>71</v>
      </c>
      <c r="D10" s="24" t="str">
        <f aca="false">IF($B10="","—",IF($B10&gt;0.2,"CRÍTICO",IF($B10&gt;0.1,"ATENCIÓN","OK")))</f>
        <v>—</v>
      </c>
      <c r="E10" s="25" t="str">
        <f aca="false">IF($B10="","Pendiente de medir",IF($B10&gt;0.2,"El reabastecimiento no aguanta el pico: una de cada cinco posiciones llega vacía o casi vacía al corte.",IF($B10&gt;0.1,"El reabastecimiento se queda corto justo cuando más se le exige.","El reabastecimiento aguanta el pico.")))</f>
        <v>Pendiente de medir</v>
      </c>
      <c r="F10" s="26" t="s">
        <v>83</v>
      </c>
    </row>
    <row r="11" customFormat="false" ht="42" hidden="false" customHeight="true" outlineLevel="0" collapsed="false">
      <c r="A11" s="21" t="s">
        <v>84</v>
      </c>
      <c r="B11" s="28" t="str">
        <f aca="false">IF('5 Reabastecimiento'!$D$77="","",'5 Reabastecimiento'!$D$77)</f>
        <v/>
      </c>
      <c r="C11" s="23" t="s">
        <v>85</v>
      </c>
      <c r="D11" s="24" t="str">
        <f aca="false">IF($B11="","—",IF($B11&gt;3,"CRÍTICO",IF($B11&gt;1,"ATENCIÓN","OK")))</f>
        <v>—</v>
      </c>
      <c r="E11" s="25" t="str">
        <f aca="false">IF($B11="","Pendiente de medir",IF($B11&gt;3,"El operario se topa con una posición vacía cada 30 líneas o menos. Detiene el ciclo y termina en faltantes al cliente.",IF($B11&gt;1,"Frecuencia alta. Revisar el punto de reorden de los SKU que se repiten.","Frecuencia baja. El reabastecimiento responde.")))</f>
        <v>Pendiente de medir</v>
      </c>
      <c r="F11" s="26" t="s">
        <v>86</v>
      </c>
    </row>
    <row r="12" customFormat="false" ht="42" hidden="false" customHeight="true" outlineLevel="0" collapsed="false">
      <c r="A12" s="21" t="s">
        <v>87</v>
      </c>
      <c r="B12" s="27" t="str">
        <f aca="false">IF('6 Seguimiento pedidos'!$N$91="","",'6 Seguimiento pedidos'!$N$91)</f>
        <v/>
      </c>
      <c r="C12" s="23" t="s">
        <v>88</v>
      </c>
      <c r="D12" s="24" t="str">
        <f aca="false">IF($B12="","—",IF($B12&gt;180,"CRÍTICO",IF($B12&gt;60,"ATENCIÓN","OK")))</f>
        <v>—</v>
      </c>
      <c r="E12" s="25" t="str">
        <f aca="false">IF($B12="","Pendiente de medir",IF($B12&gt;180,"El pedido termina y se queda horas ocupando staging. Es trabajo hecho que no llega al cliente.",IF($B12&gt;60,"Espera apreciable. Revisar la sincronización entre alistamiento y transporte.","El pedido sale poco después de quedar listo.")))</f>
        <v>Pendiente de medir</v>
      </c>
      <c r="F12" s="26" t="s">
        <v>89</v>
      </c>
    </row>
    <row r="13" customFormat="false" ht="42" hidden="false" customHeight="true" outlineLevel="0" collapsed="false">
      <c r="A13" s="21" t="s">
        <v>90</v>
      </c>
      <c r="B13" s="22" t="str">
        <f aca="false">IF('6 Seguimiento pedidos'!$Q$91="","",'6 Seguimiento pedidos'!$Q$91)</f>
        <v/>
      </c>
      <c r="C13" s="23" t="s">
        <v>77</v>
      </c>
      <c r="D13" s="24" t="str">
        <f aca="false">IF($B13="","—",IF($B13&gt;0.6,"CRÍTICO",IF($B13&gt;0.4,"ATENCIÓN","OK")))</f>
        <v>—</v>
      </c>
      <c r="E13" s="25" t="str">
        <f aca="false">IF($B13="","Pendiente de medir",IF($B13&gt;0.6,"La mayor parte del ciclo el pedido está quieto. El problema no es la velocidad de la gente: es la sincronización.",IF($B13&gt;0.4,"Espera significativa dentro del ciclo. Hay margen sin tocar la productividad.","El pedido fluye. La mejora está en la velocidad de cada estación.")))</f>
        <v>Pendiente de medir</v>
      </c>
      <c r="F13" s="26" t="s">
        <v>91</v>
      </c>
    </row>
    <row r="14" customFormat="false" ht="42" hidden="false" customHeight="true" outlineLevel="0" collapsed="false">
      <c r="A14" s="21" t="s">
        <v>92</v>
      </c>
      <c r="B14" s="22" t="str">
        <f aca="false">IF('7 Prioridades'!$E$62="","",'7 Prioridades'!$E$62)</f>
        <v/>
      </c>
      <c r="C14" s="23" t="s">
        <v>71</v>
      </c>
      <c r="D14" s="24" t="str">
        <f aca="false">IF($B14="","—",IF($B14&gt;0.25,"CRÍTICO",IF($B14&gt;0.1,"ATENCIÓN","OK")))</f>
        <v>—</v>
      </c>
      <c r="E14" s="25" t="str">
        <f aca="false">IF($B14="","Pendiente de medir",IF($B14&gt;0.25,"Se alista en un orden distinto al de salida: el staging se llena de pedidos que no salen y esperan los que sí.",IF($B14&gt;0.1,"Desvíos frecuentes de la secuencia. Revisar quién puede saltarse la regla.","Se alista en el orden correcto.")))</f>
        <v>Pendiente de medir</v>
      </c>
      <c r="F14" s="26" t="s">
        <v>93</v>
      </c>
    </row>
    <row r="15" customFormat="false" ht="42" hidden="false" customHeight="true" outlineLevel="0" collapsed="false">
      <c r="A15" s="21" t="s">
        <v>94</v>
      </c>
      <c r="B15" s="27" t="str">
        <f aca="false">IF('8 Muelle y cargue'!$H$54="","",'8 Muelle y cargue'!$H$54)</f>
        <v/>
      </c>
      <c r="C15" s="23" t="s">
        <v>95</v>
      </c>
      <c r="D15" s="24" t="str">
        <f aca="false">IF($B15="","—",IF($B15&gt;180,"CRÍTICO",IF($B15&gt;90,"ATENCIÓN","OK")))</f>
        <v>—</v>
      </c>
      <c r="E15" s="25" t="str">
        <f aca="false">IF($B15="","Pendiente de medir",IF($B15&gt;180,"El vehículo pasa más de tres horas adentro. Se paga en flete y en muelles bloqueados.",IF($B15&gt;90,"Revisar programación de citas y secuencia de cargue.","Muelle fluido.")))</f>
        <v>Pendiente de medir</v>
      </c>
      <c r="F15" s="26" t="s">
        <v>96</v>
      </c>
    </row>
    <row r="16" customFormat="false" ht="42" hidden="false" customHeight="true" outlineLevel="0" collapsed="false">
      <c r="A16" s="21" t="s">
        <v>97</v>
      </c>
      <c r="B16" s="22" t="str">
        <f aca="false">IF('8 Muelle y cargue'!$L$55="","",'8 Muelle y cargue'!$L$55)</f>
        <v/>
      </c>
      <c r="C16" s="23" t="s">
        <v>98</v>
      </c>
      <c r="D16" s="24" t="str">
        <f aca="false">IF($B16="","—",IF($B16&gt;0.2,"CRÍTICO",IF($B16&gt;0,"ATENCIÓN","OK")))</f>
        <v>—</v>
      </c>
      <c r="E16" s="25" t="str">
        <f aca="false">IF($B16="","Pendiente de medir",IF($B16&gt;0.2,"Uno de cada cinco camiones espera a que le terminen el pedido. Es la misma falta de sincronización de la hoja 6, vista desde el muelle.",IF($B16&gt;0,"Ocurre pero no es lo general. Revisar qué rutas se repiten.","El pedido siempre estaba listo cuando llegó el vehículo.")))</f>
        <v>Pendiente de medir</v>
      </c>
      <c r="F16" s="26" t="s">
        <v>99</v>
      </c>
    </row>
    <row r="17" customFormat="false" ht="42" hidden="false" customHeight="true" outlineLevel="0" collapsed="false">
      <c r="A17" s="21" t="s">
        <v>100</v>
      </c>
      <c r="B17" s="29" t="n">
        <f aca="false">IF('1 Checklist'!$D$3="","",'1 Checklist'!$D$3)</f>
        <v>0</v>
      </c>
      <c r="C17" s="23" t="s">
        <v>101</v>
      </c>
      <c r="D17" s="24" t="str">
        <f aca="false">IF($B17="","—",IF($B17&lt;1,"EN CURSO","OK"))</f>
        <v>EN CURSO</v>
      </c>
      <c r="E17" s="25" t="str">
        <f aca="false">IF($B17="","Sin iniciar",IF($B17&lt;1,"Quedan acciones pendientes antes de cerrar el día.","Checklist completo."))</f>
        <v>Quedan acciones pendientes antes de cerrar el día.</v>
      </c>
      <c r="F17" s="26" t="s">
        <v>102</v>
      </c>
    </row>
    <row r="18" customFormat="false" ht="42" hidden="false" customHeight="true" outlineLevel="0" collapsed="false">
      <c r="A18" s="21" t="s">
        <v>103</v>
      </c>
      <c r="B18" s="29" t="n">
        <f aca="false">IF('10 Solicitud datos'!$F$3="","",'10 Solicitud datos'!$F$3)</f>
        <v>0</v>
      </c>
      <c r="C18" s="23" t="s">
        <v>101</v>
      </c>
      <c r="D18" s="24" t="str">
        <f aca="false">IF($B18="","—",IF($B18&lt;1,"EN CURSO","OK"))</f>
        <v>EN CURSO</v>
      </c>
      <c r="E18" s="25" t="str">
        <f aca="false">IF($B18="","Sin entregar",IF($B18&lt;1,"Sin el dato crudo no hay análisis la próxima semana.","Información completa recibida."))</f>
        <v>Sin el dato crudo no hay análisis la próxima semana.</v>
      </c>
      <c r="F18" s="26" t="s">
        <v>104</v>
      </c>
    </row>
    <row r="20" customFormat="false" ht="43.5" hidden="false" customHeight="true" outlineLevel="0" collapsed="false">
      <c r="A20" s="18" t="s">
        <v>105</v>
      </c>
      <c r="B20" s="18"/>
      <c r="C20" s="18"/>
      <c r="D20" s="18"/>
      <c r="E20" s="18"/>
      <c r="F20" s="18"/>
    </row>
  </sheetData>
  <mergeCells count="3">
    <mergeCell ref="A1:F1"/>
    <mergeCell ref="A2:F2"/>
    <mergeCell ref="A20:F20"/>
  </mergeCells>
  <conditionalFormatting sqref="D5:D18">
    <cfRule type="cellIs" priority="2" operator="equal" aboveAverage="0" equalAverage="0" bottom="0" percent="0" rank="0" text="" dxfId="0">
      <formula>"CRÍTICO"</formula>
    </cfRule>
    <cfRule type="cellIs" priority="3" operator="equal" aboveAverage="0" equalAverage="0" bottom="0" percent="0" rank="0" text="" dxfId="1">
      <formula>"ATENCIÓN"</formula>
    </cfRule>
    <cfRule type="cellIs" priority="4" operator="equal" aboveAverage="0" equalAverage="0" bottom="0" percent="0" rank="0" text="" dxfId="2">
      <formula>"OK"</formula>
    </cfRule>
    <cfRule type="cellIs" priority="5" operator="equal" aboveAverage="0" equalAverage="0" bottom="0" percent="0" rank="0" text="" dxfId="1">
      <formula>"EN CURSO"</formula>
    </cfRule>
  </conditionalFormatting>
  <conditionalFormatting sqref="A5:F18">
    <cfRule type="expression" priority="6" aboveAverage="0" equalAverage="0" bottom="0" percent="0" rank="0" text="" dxfId="3">
      <formula>$D5="CRÍTICO"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6E00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52"/>
    <col collapsed="false" customWidth="true" hidden="false" outlineLevel="0" max="4" min="4" style="0" width="44"/>
    <col collapsed="false" customWidth="true" hidden="false" outlineLevel="0" max="6" min="5" style="0" width="9"/>
    <col collapsed="false" customWidth="true" hidden="false" outlineLevel="0" max="7" min="7" style="0" width="17"/>
    <col collapsed="false" customWidth="true" hidden="false" outlineLevel="0" max="8" min="8" style="0" width="26"/>
  </cols>
  <sheetData>
    <row r="1" customFormat="false" ht="25.5" hidden="false" customHeight="true" outlineLevel="0" collapsed="false">
      <c r="A1" s="19" t="s">
        <v>106</v>
      </c>
      <c r="B1" s="19"/>
      <c r="C1" s="19"/>
      <c r="D1" s="19"/>
      <c r="E1" s="19"/>
      <c r="F1" s="19"/>
      <c r="G1" s="19"/>
      <c r="H1" s="19"/>
    </row>
    <row r="2" customFormat="false" ht="15.75" hidden="false" customHeight="true" outlineLevel="0" collapsed="false">
      <c r="A2" s="20" t="s">
        <v>107</v>
      </c>
      <c r="B2" s="20"/>
      <c r="C2" s="20"/>
      <c r="D2" s="20"/>
      <c r="E2" s="20"/>
      <c r="F2" s="20"/>
      <c r="G2" s="20"/>
      <c r="H2" s="20"/>
    </row>
    <row r="3" customFormat="false" ht="16.15" hidden="false" customHeight="false" outlineLevel="0" collapsed="false">
      <c r="C3" s="30" t="s">
        <v>108</v>
      </c>
      <c r="D3" s="29" t="n">
        <f aca="false">IF(COUNTA($C$8:$C$27)=0,"",COUNTIF($D$8:$D$27,"Sí")/COUNTA($C$8:$C$27))</f>
        <v>0</v>
      </c>
    </row>
    <row r="7" customFormat="false" ht="33.75" hidden="false" customHeight="true" outlineLevel="0" collapsed="false">
      <c r="A7" s="8" t="s">
        <v>109</v>
      </c>
      <c r="B7" s="8" t="s">
        <v>110</v>
      </c>
      <c r="C7" s="8" t="s">
        <v>111</v>
      </c>
      <c r="D7" s="8" t="s">
        <v>112</v>
      </c>
      <c r="E7" s="8" t="s">
        <v>113</v>
      </c>
      <c r="F7" s="8" t="s">
        <v>114</v>
      </c>
      <c r="G7" s="8" t="s">
        <v>115</v>
      </c>
      <c r="H7" s="8" t="s">
        <v>116</v>
      </c>
    </row>
    <row r="8" customFormat="false" ht="30" hidden="false" customHeight="true" outlineLevel="0" collapsed="false">
      <c r="A8" s="31" t="n">
        <v>1</v>
      </c>
      <c r="B8" s="9" t="s">
        <v>117</v>
      </c>
      <c r="C8" s="10" t="s">
        <v>118</v>
      </c>
      <c r="D8" s="32" t="s">
        <v>119</v>
      </c>
      <c r="E8" s="33"/>
      <c r="F8" s="34"/>
      <c r="G8" s="34"/>
      <c r="H8" s="34"/>
    </row>
    <row r="9" customFormat="false" ht="30" hidden="false" customHeight="true" outlineLevel="0" collapsed="false">
      <c r="A9" s="31" t="n">
        <v>2</v>
      </c>
      <c r="B9" s="9" t="s">
        <v>117</v>
      </c>
      <c r="C9" s="10" t="s">
        <v>120</v>
      </c>
      <c r="D9" s="32" t="s">
        <v>121</v>
      </c>
      <c r="E9" s="33"/>
      <c r="F9" s="34"/>
      <c r="G9" s="34"/>
      <c r="H9" s="34"/>
    </row>
    <row r="10" customFormat="false" ht="30" hidden="false" customHeight="true" outlineLevel="0" collapsed="false">
      <c r="A10" s="31" t="n">
        <v>3</v>
      </c>
      <c r="B10" s="9" t="s">
        <v>117</v>
      </c>
      <c r="C10" s="10" t="s">
        <v>122</v>
      </c>
      <c r="D10" s="32" t="s">
        <v>123</v>
      </c>
      <c r="E10" s="33"/>
      <c r="F10" s="34"/>
      <c r="G10" s="34"/>
      <c r="H10" s="34"/>
    </row>
    <row r="11" customFormat="false" ht="30" hidden="false" customHeight="true" outlineLevel="0" collapsed="false">
      <c r="A11" s="31" t="n">
        <v>4</v>
      </c>
      <c r="B11" s="9" t="s">
        <v>117</v>
      </c>
      <c r="C11" s="10" t="s">
        <v>124</v>
      </c>
      <c r="D11" s="32" t="s">
        <v>125</v>
      </c>
      <c r="E11" s="33"/>
      <c r="F11" s="34"/>
      <c r="G11" s="34"/>
      <c r="H11" s="34"/>
    </row>
    <row r="12" customFormat="false" ht="30" hidden="false" customHeight="true" outlineLevel="0" collapsed="false">
      <c r="A12" s="31" t="n">
        <v>5</v>
      </c>
      <c r="B12" s="9" t="s">
        <v>20</v>
      </c>
      <c r="C12" s="10" t="s">
        <v>126</v>
      </c>
      <c r="D12" s="32" t="s">
        <v>127</v>
      </c>
      <c r="E12" s="33"/>
      <c r="F12" s="34"/>
      <c r="G12" s="34"/>
      <c r="H12" s="34"/>
    </row>
    <row r="13" customFormat="false" ht="30" hidden="false" customHeight="true" outlineLevel="0" collapsed="false">
      <c r="A13" s="31" t="n">
        <v>6</v>
      </c>
      <c r="B13" s="9" t="s">
        <v>20</v>
      </c>
      <c r="C13" s="10" t="s">
        <v>128</v>
      </c>
      <c r="D13" s="32" t="s">
        <v>129</v>
      </c>
      <c r="E13" s="33"/>
      <c r="F13" s="34"/>
      <c r="G13" s="34"/>
      <c r="H13" s="34"/>
    </row>
    <row r="14" customFormat="false" ht="30" hidden="false" customHeight="true" outlineLevel="0" collapsed="false">
      <c r="A14" s="31" t="n">
        <v>7</v>
      </c>
      <c r="B14" s="9" t="s">
        <v>20</v>
      </c>
      <c r="C14" s="10" t="s">
        <v>130</v>
      </c>
      <c r="D14" s="32" t="s">
        <v>131</v>
      </c>
      <c r="E14" s="33"/>
      <c r="F14" s="34"/>
      <c r="G14" s="34"/>
      <c r="H14" s="34"/>
    </row>
    <row r="15" customFormat="false" ht="30" hidden="false" customHeight="true" outlineLevel="0" collapsed="false">
      <c r="A15" s="31" t="n">
        <v>8</v>
      </c>
      <c r="B15" s="9" t="s">
        <v>20</v>
      </c>
      <c r="C15" s="10" t="s">
        <v>132</v>
      </c>
      <c r="D15" s="32" t="s">
        <v>133</v>
      </c>
      <c r="E15" s="33"/>
      <c r="F15" s="34"/>
      <c r="G15" s="34"/>
      <c r="H15" s="34"/>
    </row>
    <row r="16" customFormat="false" ht="30" hidden="false" customHeight="true" outlineLevel="0" collapsed="false">
      <c r="A16" s="31" t="n">
        <v>9</v>
      </c>
      <c r="B16" s="9" t="s">
        <v>134</v>
      </c>
      <c r="C16" s="10" t="s">
        <v>135</v>
      </c>
      <c r="D16" s="32" t="s">
        <v>136</v>
      </c>
      <c r="E16" s="33"/>
      <c r="F16" s="34"/>
      <c r="G16" s="34"/>
      <c r="H16" s="34"/>
    </row>
    <row r="17" customFormat="false" ht="30" hidden="false" customHeight="true" outlineLevel="0" collapsed="false">
      <c r="A17" s="31" t="n">
        <v>10</v>
      </c>
      <c r="B17" s="9" t="s">
        <v>137</v>
      </c>
      <c r="C17" s="10" t="s">
        <v>138</v>
      </c>
      <c r="D17" s="32" t="s">
        <v>139</v>
      </c>
      <c r="E17" s="33"/>
      <c r="F17" s="34"/>
      <c r="G17" s="34"/>
      <c r="H17" s="34"/>
    </row>
    <row r="18" customFormat="false" ht="30" hidden="false" customHeight="true" outlineLevel="0" collapsed="false">
      <c r="A18" s="31" t="n">
        <v>11</v>
      </c>
      <c r="B18" s="9" t="s">
        <v>137</v>
      </c>
      <c r="C18" s="10" t="s">
        <v>28</v>
      </c>
      <c r="D18" s="32" t="s">
        <v>140</v>
      </c>
      <c r="E18" s="33"/>
      <c r="F18" s="34"/>
      <c r="G18" s="34"/>
      <c r="H18" s="34"/>
    </row>
    <row r="19" customFormat="false" ht="30" hidden="false" customHeight="true" outlineLevel="0" collapsed="false">
      <c r="A19" s="31" t="n">
        <v>12</v>
      </c>
      <c r="B19" s="9" t="s">
        <v>137</v>
      </c>
      <c r="C19" s="10" t="s">
        <v>141</v>
      </c>
      <c r="D19" s="32" t="s">
        <v>142</v>
      </c>
      <c r="E19" s="33"/>
      <c r="F19" s="34"/>
      <c r="G19" s="34"/>
      <c r="H19" s="34"/>
    </row>
    <row r="20" customFormat="false" ht="30" hidden="false" customHeight="true" outlineLevel="0" collapsed="false">
      <c r="A20" s="31" t="n">
        <v>13</v>
      </c>
      <c r="B20" s="9" t="s">
        <v>137</v>
      </c>
      <c r="C20" s="10" t="s">
        <v>143</v>
      </c>
      <c r="D20" s="32" t="s">
        <v>144</v>
      </c>
      <c r="E20" s="33"/>
      <c r="F20" s="34"/>
      <c r="G20" s="34"/>
      <c r="H20" s="34"/>
    </row>
    <row r="21" customFormat="false" ht="30" hidden="false" customHeight="true" outlineLevel="0" collapsed="false">
      <c r="A21" s="31" t="n">
        <v>14</v>
      </c>
      <c r="B21" s="9" t="s">
        <v>145</v>
      </c>
      <c r="C21" s="10" t="s">
        <v>146</v>
      </c>
      <c r="D21" s="32" t="s">
        <v>147</v>
      </c>
      <c r="E21" s="33"/>
      <c r="F21" s="34"/>
      <c r="G21" s="34"/>
      <c r="H21" s="34"/>
    </row>
    <row r="22" customFormat="false" ht="30" hidden="false" customHeight="true" outlineLevel="0" collapsed="false">
      <c r="A22" s="31" t="n">
        <v>15</v>
      </c>
      <c r="B22" s="9" t="s">
        <v>145</v>
      </c>
      <c r="C22" s="10" t="s">
        <v>148</v>
      </c>
      <c r="D22" s="32" t="s">
        <v>149</v>
      </c>
      <c r="E22" s="33"/>
      <c r="F22" s="34"/>
      <c r="G22" s="34"/>
      <c r="H22" s="34"/>
    </row>
    <row r="23" customFormat="false" ht="30" hidden="false" customHeight="true" outlineLevel="0" collapsed="false">
      <c r="A23" s="31" t="n">
        <v>16</v>
      </c>
      <c r="B23" s="9" t="s">
        <v>41</v>
      </c>
      <c r="C23" s="10" t="s">
        <v>150</v>
      </c>
      <c r="D23" s="32" t="s">
        <v>151</v>
      </c>
      <c r="E23" s="33"/>
      <c r="F23" s="34"/>
      <c r="G23" s="34"/>
      <c r="H23" s="34"/>
    </row>
    <row r="24" customFormat="false" ht="30" hidden="false" customHeight="true" outlineLevel="0" collapsed="false">
      <c r="A24" s="31" t="n">
        <v>17</v>
      </c>
      <c r="B24" s="9" t="s">
        <v>41</v>
      </c>
      <c r="C24" s="10" t="s">
        <v>44</v>
      </c>
      <c r="D24" s="32" t="s">
        <v>152</v>
      </c>
      <c r="E24" s="33"/>
      <c r="F24" s="34"/>
      <c r="G24" s="34"/>
      <c r="H24" s="34"/>
    </row>
    <row r="25" customFormat="false" ht="30" hidden="false" customHeight="true" outlineLevel="0" collapsed="false">
      <c r="A25" s="31" t="n">
        <v>18</v>
      </c>
      <c r="B25" s="9" t="s">
        <v>41</v>
      </c>
      <c r="C25" s="10" t="s">
        <v>153</v>
      </c>
      <c r="D25" s="32" t="s">
        <v>154</v>
      </c>
      <c r="E25" s="33"/>
      <c r="F25" s="34"/>
      <c r="G25" s="34"/>
      <c r="H25" s="34"/>
    </row>
    <row r="26" customFormat="false" ht="30" hidden="false" customHeight="true" outlineLevel="0" collapsed="false">
      <c r="A26" s="31" t="n">
        <v>19</v>
      </c>
      <c r="B26" s="9" t="s">
        <v>41</v>
      </c>
      <c r="C26" s="10" t="s">
        <v>155</v>
      </c>
      <c r="D26" s="32" t="s">
        <v>156</v>
      </c>
      <c r="E26" s="33"/>
      <c r="F26" s="34"/>
      <c r="G26" s="34"/>
      <c r="H26" s="34"/>
    </row>
    <row r="27" customFormat="false" ht="30" hidden="false" customHeight="true" outlineLevel="0" collapsed="false">
      <c r="A27" s="31" t="n">
        <v>20</v>
      </c>
      <c r="B27" s="9" t="s">
        <v>41</v>
      </c>
      <c r="C27" s="10" t="s">
        <v>157</v>
      </c>
      <c r="D27" s="32" t="s">
        <v>158</v>
      </c>
      <c r="E27" s="33"/>
      <c r="F27" s="34"/>
      <c r="G27" s="34"/>
      <c r="H27" s="34"/>
    </row>
  </sheetData>
  <mergeCells count="2">
    <mergeCell ref="A1:H1"/>
    <mergeCell ref="A2:H2"/>
  </mergeCells>
  <conditionalFormatting sqref="D8:D27">
    <cfRule type="cellIs" priority="2" operator="equal" aboveAverage="0" equalAverage="0" bottom="0" percent="0" rank="0" text="" dxfId="2">
      <formula>"Sí"</formula>
    </cfRule>
  </conditionalFormatting>
  <dataValidations count="4">
    <dataValidation allowBlank="true" error="Elige una de la lista." errorStyle="stop" errorTitle="Opción no válida" operator="between" prompt="Elige Sí cuando la acción esté terminada. El avance se recalcula solo." promptTitle="¿Ya lo hiciste?" showDropDown="false" showErrorMessage="false" showInputMessage="true" sqref="D8:D27" type="list">
      <formula1>"Sí,No"</formula1>
      <formula2>0</formula2>
    </dataValidation>
    <dataValidation allowBlank="true" errorStyle="stop" operator="between" prompt="Hora en que terminaste la acción, formato HH:MM." promptTitle="Hora" showDropDown="false" showErrorMessage="false" showInputMessage="true" sqref="E8:E27" type="none">
      <formula1>0</formula1>
      <formula2>0</formula2>
    </dataValidation>
    <dataValidation allowBlank="true" errorStyle="stop" operator="between" prompt="Quién la ejecutó, si la delegaste." promptTitle="Responsable" showDropDown="false" showErrorMessage="false" showInputMessage="true" sqref="F8:F27" type="none">
      <formula1>0</formula1>
      <formula2>0</formula2>
    </dataValidation>
    <dataValidation allowBlank="true" errorStyle="stop" operator="between" prompt="Qué encontraste o qué impidió hacerla." promptTitle="Observación" showDropDown="false" showErrorMessage="false" showInputMessage="true" sqref="G8:G27" type="non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6E00"/>
    <pageSetUpPr fitToPage="tru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0" topLeftCell="A3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3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8" min="8" style="0" width="34"/>
  </cols>
  <sheetData>
    <row r="1" customFormat="false" ht="25.5" hidden="false" customHeight="true" outlineLevel="0" collapsed="false">
      <c r="A1" s="19" t="s">
        <v>159</v>
      </c>
      <c r="B1" s="19"/>
      <c r="C1" s="19"/>
      <c r="D1" s="19"/>
      <c r="E1" s="19"/>
      <c r="F1" s="19"/>
      <c r="G1" s="19"/>
      <c r="H1" s="19"/>
    </row>
    <row r="2" customFormat="false" ht="15.75" hidden="false" customHeight="true" outlineLevel="0" collapsed="false">
      <c r="A2" s="20" t="s">
        <v>160</v>
      </c>
      <c r="B2" s="20"/>
      <c r="C2" s="20"/>
      <c r="D2" s="20"/>
      <c r="E2" s="20"/>
      <c r="F2" s="20"/>
      <c r="G2" s="20"/>
      <c r="H2" s="20"/>
    </row>
    <row r="4" customFormat="false" ht="18.75" hidden="false" customHeight="true" outlineLevel="0" collapsed="false">
      <c r="A4" s="4" t="s">
        <v>161</v>
      </c>
      <c r="B4" s="4"/>
      <c r="C4" s="4"/>
      <c r="D4" s="4"/>
      <c r="E4" s="4"/>
      <c r="F4" s="4"/>
      <c r="G4" s="4"/>
      <c r="H4" s="4"/>
    </row>
    <row r="5" customFormat="false" ht="29.25" hidden="false" customHeight="true" outlineLevel="0" collapsed="false">
      <c r="A5" s="35" t="s">
        <v>162</v>
      </c>
      <c r="B5" s="36" t="s">
        <v>163</v>
      </c>
      <c r="C5" s="36"/>
      <c r="D5" s="36"/>
      <c r="E5" s="36"/>
      <c r="F5" s="36"/>
      <c r="G5" s="36"/>
      <c r="H5" s="36"/>
    </row>
    <row r="6" customFormat="false" ht="16.5" hidden="false" customHeight="true" outlineLevel="0" collapsed="false">
      <c r="A6" s="35" t="s">
        <v>164</v>
      </c>
      <c r="B6" s="36" t="s">
        <v>165</v>
      </c>
      <c r="C6" s="36"/>
      <c r="D6" s="36"/>
      <c r="E6" s="36"/>
      <c r="F6" s="36"/>
      <c r="G6" s="36"/>
      <c r="H6" s="36"/>
    </row>
    <row r="7" customFormat="false" ht="16.5" hidden="false" customHeight="true" outlineLevel="0" collapsed="false">
      <c r="A7" s="35" t="s">
        <v>166</v>
      </c>
      <c r="B7" s="36" t="s">
        <v>167</v>
      </c>
      <c r="C7" s="36"/>
      <c r="D7" s="36"/>
      <c r="E7" s="36"/>
      <c r="F7" s="36"/>
      <c r="G7" s="36"/>
      <c r="H7" s="36"/>
    </row>
    <row r="8" customFormat="false" ht="16.5" hidden="false" customHeight="true" outlineLevel="0" collapsed="false">
      <c r="A8" s="35" t="s">
        <v>168</v>
      </c>
      <c r="B8" s="36" t="s">
        <v>169</v>
      </c>
      <c r="C8" s="36"/>
      <c r="D8" s="36"/>
      <c r="E8" s="36"/>
      <c r="F8" s="36"/>
      <c r="G8" s="36"/>
      <c r="H8" s="36"/>
    </row>
    <row r="9" customFormat="false" ht="18.75" hidden="false" customHeight="true" outlineLevel="0" collapsed="false">
      <c r="A9" s="7" t="s">
        <v>170</v>
      </c>
      <c r="B9" s="7"/>
      <c r="C9" s="7"/>
      <c r="D9" s="7"/>
      <c r="E9" s="7"/>
      <c r="F9" s="7"/>
      <c r="G9" s="7"/>
      <c r="H9" s="7"/>
    </row>
    <row r="10" customFormat="false" ht="29.25" hidden="false" customHeight="true" outlineLevel="0" collapsed="false">
      <c r="A10" s="37" t="s">
        <v>171</v>
      </c>
      <c r="B10" s="36" t="s">
        <v>172</v>
      </c>
      <c r="C10" s="36"/>
      <c r="D10" s="36"/>
      <c r="E10" s="36"/>
      <c r="F10" s="36"/>
      <c r="G10" s="36"/>
      <c r="H10" s="36"/>
    </row>
    <row r="11" customFormat="false" ht="29.25" hidden="false" customHeight="true" outlineLevel="0" collapsed="false">
      <c r="A11" s="37" t="s">
        <v>173</v>
      </c>
      <c r="B11" s="36" t="s">
        <v>174</v>
      </c>
      <c r="C11" s="36"/>
      <c r="D11" s="36"/>
      <c r="E11" s="36"/>
      <c r="F11" s="36"/>
      <c r="G11" s="36"/>
      <c r="H11" s="36"/>
    </row>
    <row r="12" customFormat="false" ht="16.5" hidden="false" customHeight="true" outlineLevel="0" collapsed="false">
      <c r="A12" s="37" t="s">
        <v>175</v>
      </c>
      <c r="B12" s="36" t="s">
        <v>176</v>
      </c>
      <c r="C12" s="36"/>
      <c r="D12" s="36"/>
      <c r="E12" s="36"/>
      <c r="F12" s="36"/>
      <c r="G12" s="36"/>
      <c r="H12" s="36"/>
    </row>
    <row r="13" customFormat="false" ht="29.25" hidden="false" customHeight="true" outlineLevel="0" collapsed="false">
      <c r="A13" s="37" t="s">
        <v>177</v>
      </c>
      <c r="B13" s="36" t="s">
        <v>178</v>
      </c>
      <c r="C13" s="36"/>
      <c r="D13" s="36"/>
      <c r="E13" s="36"/>
      <c r="F13" s="36"/>
      <c r="G13" s="36"/>
      <c r="H13" s="36"/>
    </row>
    <row r="14" customFormat="false" ht="29.25" hidden="false" customHeight="true" outlineLevel="0" collapsed="false">
      <c r="A14" s="37" t="s">
        <v>179</v>
      </c>
      <c r="B14" s="36" t="s">
        <v>180</v>
      </c>
      <c r="C14" s="36"/>
      <c r="D14" s="36"/>
      <c r="E14" s="36"/>
      <c r="F14" s="36"/>
      <c r="G14" s="36"/>
      <c r="H14" s="36"/>
    </row>
    <row r="15" customFormat="false" ht="29.25" hidden="false" customHeight="true" outlineLevel="0" collapsed="false">
      <c r="A15" s="37" t="s">
        <v>181</v>
      </c>
      <c r="B15" s="36" t="s">
        <v>182</v>
      </c>
      <c r="C15" s="36"/>
      <c r="D15" s="36"/>
      <c r="E15" s="36"/>
      <c r="F15" s="36"/>
      <c r="G15" s="36"/>
      <c r="H15" s="36"/>
    </row>
    <row r="16" customFormat="false" ht="18.75" hidden="false" customHeight="true" outlineLevel="0" collapsed="false">
      <c r="A16" s="7" t="s">
        <v>183</v>
      </c>
      <c r="B16" s="7"/>
      <c r="C16" s="7"/>
      <c r="D16" s="7"/>
      <c r="E16" s="7"/>
      <c r="F16" s="7"/>
      <c r="G16" s="7"/>
      <c r="H16" s="7"/>
    </row>
    <row r="17" customFormat="false" ht="29.25" hidden="false" customHeight="true" outlineLevel="0" collapsed="false">
      <c r="A17" s="37" t="s">
        <v>184</v>
      </c>
      <c r="B17" s="36" t="s">
        <v>185</v>
      </c>
      <c r="C17" s="36"/>
      <c r="D17" s="36"/>
      <c r="E17" s="36"/>
      <c r="F17" s="36"/>
      <c r="G17" s="36"/>
      <c r="H17" s="36"/>
    </row>
    <row r="18" customFormat="false" ht="29.25" hidden="false" customHeight="true" outlineLevel="0" collapsed="false">
      <c r="A18" s="37" t="s">
        <v>184</v>
      </c>
      <c r="B18" s="36" t="s">
        <v>186</v>
      </c>
      <c r="C18" s="36"/>
      <c r="D18" s="36"/>
      <c r="E18" s="36"/>
      <c r="F18" s="36"/>
      <c r="G18" s="36"/>
      <c r="H18" s="36"/>
    </row>
    <row r="19" customFormat="false" ht="16.5" hidden="false" customHeight="true" outlineLevel="0" collapsed="false">
      <c r="A19" s="37" t="s">
        <v>184</v>
      </c>
      <c r="B19" s="36" t="s">
        <v>187</v>
      </c>
      <c r="C19" s="36"/>
      <c r="D19" s="36"/>
      <c r="E19" s="36"/>
      <c r="F19" s="36"/>
      <c r="G19" s="36"/>
      <c r="H19" s="36"/>
    </row>
    <row r="20" customFormat="false" ht="29.25" hidden="false" customHeight="true" outlineLevel="0" collapsed="false">
      <c r="A20" s="37" t="s">
        <v>184</v>
      </c>
      <c r="B20" s="36" t="s">
        <v>188</v>
      </c>
      <c r="C20" s="36"/>
      <c r="D20" s="36"/>
      <c r="E20" s="36"/>
      <c r="F20" s="36"/>
      <c r="G20" s="36"/>
      <c r="H20" s="36"/>
    </row>
    <row r="21" customFormat="false" ht="16.5" hidden="false" customHeight="true" outlineLevel="0" collapsed="false">
      <c r="A21" s="37" t="s">
        <v>184</v>
      </c>
      <c r="B21" s="36" t="s">
        <v>189</v>
      </c>
      <c r="C21" s="36"/>
      <c r="D21" s="36"/>
      <c r="E21" s="36"/>
      <c r="F21" s="36"/>
      <c r="G21" s="36"/>
      <c r="H21" s="36"/>
    </row>
    <row r="22" customFormat="false" ht="18.75" hidden="false" customHeight="true" outlineLevel="0" collapsed="false">
      <c r="A22" s="38" t="s">
        <v>190</v>
      </c>
      <c r="B22" s="38"/>
      <c r="C22" s="38"/>
      <c r="D22" s="38"/>
      <c r="E22" s="38"/>
      <c r="F22" s="38"/>
      <c r="G22" s="38"/>
      <c r="H22" s="38"/>
    </row>
    <row r="23" customFormat="false" ht="29.25" hidden="false" customHeight="true" outlineLevel="0" collapsed="false">
      <c r="A23" s="39" t="s">
        <v>191</v>
      </c>
      <c r="B23" s="36" t="s">
        <v>192</v>
      </c>
      <c r="C23" s="36"/>
      <c r="D23" s="36"/>
      <c r="E23" s="36"/>
      <c r="F23" s="36"/>
      <c r="G23" s="36"/>
      <c r="H23" s="36"/>
    </row>
    <row r="24" customFormat="false" ht="16.5" hidden="false" customHeight="true" outlineLevel="0" collapsed="false">
      <c r="A24" s="39" t="s">
        <v>191</v>
      </c>
      <c r="B24" s="36" t="s">
        <v>193</v>
      </c>
      <c r="C24" s="36"/>
      <c r="D24" s="36"/>
      <c r="E24" s="36"/>
      <c r="F24" s="36"/>
      <c r="G24" s="36"/>
      <c r="H24" s="36"/>
    </row>
    <row r="25" customFormat="false" ht="16.5" hidden="false" customHeight="true" outlineLevel="0" collapsed="false">
      <c r="A25" s="39" t="s">
        <v>191</v>
      </c>
      <c r="B25" s="36" t="s">
        <v>194</v>
      </c>
      <c r="C25" s="36"/>
      <c r="D25" s="36"/>
      <c r="E25" s="36"/>
      <c r="F25" s="36"/>
      <c r="G25" s="36"/>
      <c r="H25" s="36"/>
    </row>
    <row r="26" customFormat="false" ht="16.5" hidden="false" customHeight="true" outlineLevel="0" collapsed="false">
      <c r="A26" s="39" t="s">
        <v>191</v>
      </c>
      <c r="B26" s="36" t="s">
        <v>195</v>
      </c>
      <c r="C26" s="36"/>
      <c r="D26" s="36"/>
      <c r="E26" s="36"/>
      <c r="F26" s="36"/>
      <c r="G26" s="36"/>
      <c r="H26" s="36"/>
    </row>
    <row r="27" customFormat="false" ht="16.5" hidden="false" customHeight="true" outlineLevel="0" collapsed="false">
      <c r="A27" s="39" t="s">
        <v>191</v>
      </c>
      <c r="B27" s="36" t="s">
        <v>196</v>
      </c>
      <c r="C27" s="36"/>
      <c r="D27" s="36"/>
      <c r="E27" s="36"/>
      <c r="F27" s="36"/>
      <c r="G27" s="36"/>
      <c r="H27" s="36"/>
    </row>
    <row r="29" customFormat="false" ht="18.75" hidden="false" customHeight="true" outlineLevel="0" collapsed="false">
      <c r="A29" s="4" t="s">
        <v>197</v>
      </c>
      <c r="B29" s="4"/>
      <c r="C29" s="4"/>
      <c r="D29" s="4"/>
      <c r="E29" s="4"/>
      <c r="F29" s="4"/>
      <c r="G29" s="4"/>
      <c r="H29" s="4"/>
    </row>
    <row r="30" customFormat="false" ht="33.75" hidden="false" customHeight="true" outlineLevel="0" collapsed="false">
      <c r="A30" s="8" t="s">
        <v>198</v>
      </c>
      <c r="B30" s="8" t="s">
        <v>199</v>
      </c>
      <c r="C30" s="8" t="s">
        <v>200</v>
      </c>
      <c r="D30" s="8" t="s">
        <v>201</v>
      </c>
      <c r="E30" s="8" t="s">
        <v>202</v>
      </c>
      <c r="F30" s="8" t="s">
        <v>203</v>
      </c>
      <c r="G30" s="8" t="s">
        <v>204</v>
      </c>
      <c r="H30" s="8" t="s">
        <v>116</v>
      </c>
    </row>
    <row r="31" customFormat="false" ht="24" hidden="false" customHeight="true" outlineLevel="0" collapsed="false">
      <c r="A31" s="40" t="s">
        <v>205</v>
      </c>
      <c r="B31" s="40" t="n">
        <v>78</v>
      </c>
      <c r="C31" s="40" t="n">
        <v>14</v>
      </c>
      <c r="D31" s="40" t="n">
        <v>8</v>
      </c>
      <c r="E31" s="40" t="n">
        <f aca="false">IF(SUM(B31:D31)=0,"",SUM(B31:D31))</f>
        <v>100</v>
      </c>
      <c r="F31" s="41" t="n">
        <f aca="false">IF($E31="","",($B31+$C31)/$E31)</f>
        <v>0.92</v>
      </c>
      <c r="G31" s="41" t="n">
        <f aca="false">IF($E31="","",$C31/$E31)</f>
        <v>0.14</v>
      </c>
      <c r="H31" s="40" t="s">
        <v>206</v>
      </c>
    </row>
    <row r="32" customFormat="false" ht="18.75" hidden="false" customHeight="true" outlineLevel="0" collapsed="false">
      <c r="A32" s="34"/>
      <c r="B32" s="33"/>
      <c r="C32" s="33"/>
      <c r="D32" s="33"/>
      <c r="E32" s="42" t="str">
        <f aca="false">IF(SUM(B32:D32)=0,"",SUM(B32:D32))</f>
        <v/>
      </c>
      <c r="F32" s="43" t="str">
        <f aca="false">IF($E32="","",($B32+$C32)/$E32)</f>
        <v/>
      </c>
      <c r="G32" s="43" t="str">
        <f aca="false">IF($E32="","",$C32/$E32)</f>
        <v/>
      </c>
      <c r="H32" s="34"/>
    </row>
    <row r="33" customFormat="false" ht="18.75" hidden="false" customHeight="true" outlineLevel="0" collapsed="false">
      <c r="A33" s="34"/>
      <c r="B33" s="33"/>
      <c r="C33" s="33"/>
      <c r="D33" s="33"/>
      <c r="E33" s="42" t="str">
        <f aca="false">IF(SUM(B33:D33)=0,"",SUM(B33:D33))</f>
        <v/>
      </c>
      <c r="F33" s="43" t="str">
        <f aca="false">IF($E33="","",($B33+$C33)/$E33)</f>
        <v/>
      </c>
      <c r="G33" s="43" t="str">
        <f aca="false">IF($E33="","",$C33/$E33)</f>
        <v/>
      </c>
      <c r="H33" s="34"/>
    </row>
    <row r="34" customFormat="false" ht="18.75" hidden="false" customHeight="true" outlineLevel="0" collapsed="false">
      <c r="A34" s="34"/>
      <c r="B34" s="33"/>
      <c r="C34" s="33"/>
      <c r="D34" s="33"/>
      <c r="E34" s="42" t="str">
        <f aca="false">IF(SUM(B34:D34)=0,"",SUM(B34:D34))</f>
        <v/>
      </c>
      <c r="F34" s="43" t="str">
        <f aca="false">IF($E34="","",($B34+$C34)/$E34)</f>
        <v/>
      </c>
      <c r="G34" s="43" t="str">
        <f aca="false">IF($E34="","",$C34/$E34)</f>
        <v/>
      </c>
      <c r="H34" s="34"/>
    </row>
    <row r="35" customFormat="false" ht="18.75" hidden="false" customHeight="true" outlineLevel="0" collapsed="false">
      <c r="A35" s="34"/>
      <c r="B35" s="33"/>
      <c r="C35" s="33"/>
      <c r="D35" s="33"/>
      <c r="E35" s="42" t="str">
        <f aca="false">IF(SUM(B35:D35)=0,"",SUM(B35:D35))</f>
        <v/>
      </c>
      <c r="F35" s="43" t="str">
        <f aca="false">IF($E35="","",($B35+$C35)/$E35)</f>
        <v/>
      </c>
      <c r="G35" s="43" t="str">
        <f aca="false">IF($E35="","",$C35/$E35)</f>
        <v/>
      </c>
      <c r="H35" s="34"/>
    </row>
    <row r="36" customFormat="false" ht="18.75" hidden="false" customHeight="true" outlineLevel="0" collapsed="false">
      <c r="A36" s="34"/>
      <c r="B36" s="33"/>
      <c r="C36" s="33"/>
      <c r="D36" s="33"/>
      <c r="E36" s="42" t="str">
        <f aca="false">IF(SUM(B36:D36)=0,"",SUM(B36:D36))</f>
        <v/>
      </c>
      <c r="F36" s="43" t="str">
        <f aca="false">IF($E36="","",($B36+$C36)/$E36)</f>
        <v/>
      </c>
      <c r="G36" s="43" t="str">
        <f aca="false">IF($E36="","",$C36/$E36)</f>
        <v/>
      </c>
      <c r="H36" s="34"/>
    </row>
    <row r="37" customFormat="false" ht="18.75" hidden="false" customHeight="true" outlineLevel="0" collapsed="false">
      <c r="A37" s="34"/>
      <c r="B37" s="33"/>
      <c r="C37" s="33"/>
      <c r="D37" s="33"/>
      <c r="E37" s="42" t="str">
        <f aca="false">IF(SUM(B37:D37)=0,"",SUM(B37:D37))</f>
        <v/>
      </c>
      <c r="F37" s="43" t="str">
        <f aca="false">IF($E37="","",($B37+$C37)/$E37)</f>
        <v/>
      </c>
      <c r="G37" s="43" t="str">
        <f aca="false">IF($E37="","",$C37/$E37)</f>
        <v/>
      </c>
      <c r="H37" s="34"/>
    </row>
    <row r="38" customFormat="false" ht="18.75" hidden="false" customHeight="true" outlineLevel="0" collapsed="false">
      <c r="A38" s="34"/>
      <c r="B38" s="33"/>
      <c r="C38" s="33"/>
      <c r="D38" s="33"/>
      <c r="E38" s="42" t="str">
        <f aca="false">IF(SUM(B38:D38)=0,"",SUM(B38:D38))</f>
        <v/>
      </c>
      <c r="F38" s="43" t="str">
        <f aca="false">IF($E38="","",($B38+$C38)/$E38)</f>
        <v/>
      </c>
      <c r="G38" s="43" t="str">
        <f aca="false">IF($E38="","",$C38/$E38)</f>
        <v/>
      </c>
      <c r="H38" s="34"/>
    </row>
    <row r="39" customFormat="false" ht="18.75" hidden="false" customHeight="true" outlineLevel="0" collapsed="false">
      <c r="A39" s="34"/>
      <c r="B39" s="33"/>
      <c r="C39" s="33"/>
      <c r="D39" s="33"/>
      <c r="E39" s="42" t="str">
        <f aca="false">IF(SUM(B39:D39)=0,"",SUM(B39:D39))</f>
        <v/>
      </c>
      <c r="F39" s="43" t="str">
        <f aca="false">IF($E39="","",($B39+$C39)/$E39)</f>
        <v/>
      </c>
      <c r="G39" s="43" t="str">
        <f aca="false">IF($E39="","",$C39/$E39)</f>
        <v/>
      </c>
      <c r="H39" s="34"/>
    </row>
    <row r="40" customFormat="false" ht="18.75" hidden="false" customHeight="true" outlineLevel="0" collapsed="false">
      <c r="A40" s="34"/>
      <c r="B40" s="33"/>
      <c r="C40" s="33"/>
      <c r="D40" s="33"/>
      <c r="E40" s="42" t="str">
        <f aca="false">IF(SUM(B40:D40)=0,"",SUM(B40:D40))</f>
        <v/>
      </c>
      <c r="F40" s="43" t="str">
        <f aca="false">IF($E40="","",($B40+$C40)/$E40)</f>
        <v/>
      </c>
      <c r="G40" s="43" t="str">
        <f aca="false">IF($E40="","",$C40/$E40)</f>
        <v/>
      </c>
      <c r="H40" s="34"/>
    </row>
    <row r="41" customFormat="false" ht="18.75" hidden="false" customHeight="true" outlineLevel="0" collapsed="false">
      <c r="A41" s="34"/>
      <c r="B41" s="33"/>
      <c r="C41" s="33"/>
      <c r="D41" s="33"/>
      <c r="E41" s="42" t="str">
        <f aca="false">IF(SUM(B41:D41)=0,"",SUM(B41:D41))</f>
        <v/>
      </c>
      <c r="F41" s="43" t="str">
        <f aca="false">IF($E41="","",($B41+$C41)/$E41)</f>
        <v/>
      </c>
      <c r="G41" s="43" t="str">
        <f aca="false">IF($E41="","",$C41/$E41)</f>
        <v/>
      </c>
      <c r="H41" s="34"/>
    </row>
    <row r="42" customFormat="false" ht="24" hidden="false" customHeight="true" outlineLevel="0" collapsed="false">
      <c r="A42" s="44" t="s">
        <v>207</v>
      </c>
      <c r="B42" s="45" t="n">
        <f aca="false">SUM(B32:B41)</f>
        <v>0</v>
      </c>
      <c r="C42" s="45" t="n">
        <f aca="false">SUM(C32:C41)</f>
        <v>0</v>
      </c>
      <c r="D42" s="45" t="n">
        <f aca="false">SUM(D32:D41)</f>
        <v>0</v>
      </c>
      <c r="E42" s="45" t="n">
        <f aca="false">SUM(E32:E41)</f>
        <v>0</v>
      </c>
      <c r="F42" s="46" t="str">
        <f aca="false">IF($E$42=0,"",($B$42+$C$42)/$E$42)</f>
        <v/>
      </c>
      <c r="G42" s="46" t="str">
        <f aca="false">IF($E$42=0,"",$C$42/$E$42)</f>
        <v/>
      </c>
      <c r="H42" s="45"/>
    </row>
    <row r="44" customFormat="false" ht="18.75" hidden="false" customHeight="true" outlineLevel="0" collapsed="false">
      <c r="A44" s="4" t="s">
        <v>208</v>
      </c>
      <c r="B44" s="4"/>
      <c r="C44" s="4"/>
      <c r="D44" s="4"/>
      <c r="E44" s="4"/>
      <c r="F44" s="4"/>
      <c r="G44" s="4"/>
      <c r="H44" s="4"/>
    </row>
    <row r="45" customFormat="false" ht="30" hidden="false" customHeight="true" outlineLevel="0" collapsed="false">
      <c r="A45" s="8" t="s">
        <v>209</v>
      </c>
      <c r="B45" s="8" t="s">
        <v>210</v>
      </c>
      <c r="C45" s="8" t="s">
        <v>211</v>
      </c>
      <c r="D45" s="8" t="s">
        <v>212</v>
      </c>
      <c r="E45" s="8" t="s">
        <v>213</v>
      </c>
      <c r="F45" s="8" t="s">
        <v>116</v>
      </c>
      <c r="G45" s="47"/>
      <c r="H45" s="47"/>
    </row>
    <row r="46" customFormat="false" ht="24" hidden="false" customHeight="true" outlineLevel="0" collapsed="false">
      <c r="A46" s="40" t="s">
        <v>214</v>
      </c>
      <c r="B46" s="40" t="n">
        <v>18</v>
      </c>
      <c r="C46" s="40" t="s">
        <v>215</v>
      </c>
      <c r="D46" s="40" t="s">
        <v>216</v>
      </c>
      <c r="E46" s="40" t="s">
        <v>217</v>
      </c>
      <c r="F46" s="40" t="s">
        <v>218</v>
      </c>
    </row>
    <row r="47" customFormat="false" ht="21" hidden="false" customHeight="true" outlineLevel="0" collapsed="false">
      <c r="A47" s="34" t="s">
        <v>219</v>
      </c>
      <c r="B47" s="33"/>
      <c r="C47" s="34"/>
      <c r="D47" s="33"/>
      <c r="E47" s="33"/>
      <c r="F47" s="34"/>
    </row>
    <row r="48" customFormat="false" ht="21" hidden="false" customHeight="true" outlineLevel="0" collapsed="false">
      <c r="A48" s="34" t="s">
        <v>220</v>
      </c>
      <c r="B48" s="33"/>
      <c r="C48" s="34"/>
      <c r="D48" s="33"/>
      <c r="E48" s="33"/>
      <c r="F48" s="34"/>
    </row>
    <row r="49" customFormat="false" ht="21" hidden="false" customHeight="true" outlineLevel="0" collapsed="false">
      <c r="A49" s="34" t="s">
        <v>221</v>
      </c>
      <c r="B49" s="33"/>
      <c r="C49" s="34"/>
      <c r="D49" s="33"/>
      <c r="E49" s="33"/>
      <c r="F49" s="34"/>
    </row>
    <row r="50" customFormat="false" ht="21" hidden="false" customHeight="true" outlineLevel="0" collapsed="false">
      <c r="A50" s="34" t="s">
        <v>222</v>
      </c>
      <c r="B50" s="33"/>
      <c r="C50" s="34"/>
      <c r="D50" s="33"/>
      <c r="E50" s="33"/>
      <c r="F50" s="34"/>
    </row>
    <row r="51" customFormat="false" ht="21" hidden="false" customHeight="true" outlineLevel="0" collapsed="false">
      <c r="A51" s="34" t="s">
        <v>223</v>
      </c>
      <c r="B51" s="33"/>
      <c r="C51" s="34"/>
      <c r="D51" s="33"/>
      <c r="E51" s="33"/>
      <c r="F51" s="34"/>
    </row>
    <row r="52" customFormat="false" ht="21" hidden="false" customHeight="true" outlineLevel="0" collapsed="false">
      <c r="A52" s="34" t="s">
        <v>224</v>
      </c>
      <c r="B52" s="33"/>
      <c r="C52" s="34"/>
      <c r="D52" s="33"/>
      <c r="E52" s="33"/>
      <c r="F52" s="34"/>
    </row>
    <row r="53" customFormat="false" ht="21" hidden="false" customHeight="true" outlineLevel="0" collapsed="false">
      <c r="A53" s="34" t="s">
        <v>225</v>
      </c>
      <c r="B53" s="33"/>
      <c r="C53" s="34"/>
      <c r="D53" s="33"/>
      <c r="E53" s="33"/>
      <c r="F53" s="34"/>
    </row>
    <row r="54" customFormat="false" ht="21" hidden="false" customHeight="true" outlineLevel="0" collapsed="false">
      <c r="A54" s="34" t="s">
        <v>226</v>
      </c>
      <c r="B54" s="33"/>
      <c r="C54" s="34"/>
      <c r="D54" s="33"/>
      <c r="E54" s="33"/>
      <c r="F54" s="34"/>
    </row>
    <row r="55" customFormat="false" ht="24" hidden="false" customHeight="true" outlineLevel="0" collapsed="false">
      <c r="A55" s="44" t="s">
        <v>227</v>
      </c>
      <c r="B55" s="45" t="str">
        <f aca="false">IF(COUNT(B47:B54)=0,"",SUM(B47:B54))</f>
        <v/>
      </c>
      <c r="C55" s="45"/>
      <c r="D55" s="45"/>
      <c r="E55" s="45"/>
      <c r="F55" s="45"/>
    </row>
    <row r="57" customFormat="false" ht="43.5" hidden="false" customHeight="true" outlineLevel="0" collapsed="false">
      <c r="A57" s="18" t="s">
        <v>228</v>
      </c>
      <c r="B57" s="18"/>
      <c r="C57" s="18"/>
      <c r="D57" s="18"/>
      <c r="E57" s="18"/>
      <c r="F57" s="18"/>
      <c r="G57" s="18"/>
      <c r="H57" s="18"/>
    </row>
  </sheetData>
  <mergeCells count="29">
    <mergeCell ref="A1:H1"/>
    <mergeCell ref="A2:H2"/>
    <mergeCell ref="A4:H4"/>
    <mergeCell ref="B5:H5"/>
    <mergeCell ref="B6:H6"/>
    <mergeCell ref="B7:H7"/>
    <mergeCell ref="B8:H8"/>
    <mergeCell ref="A9:H9"/>
    <mergeCell ref="B10:H10"/>
    <mergeCell ref="B11:H11"/>
    <mergeCell ref="B12:H12"/>
    <mergeCell ref="B13:H13"/>
    <mergeCell ref="B14:H14"/>
    <mergeCell ref="B15:H15"/>
    <mergeCell ref="A16:H16"/>
    <mergeCell ref="B17:H17"/>
    <mergeCell ref="B18:H18"/>
    <mergeCell ref="B19:H19"/>
    <mergeCell ref="B20:H20"/>
    <mergeCell ref="B21:H21"/>
    <mergeCell ref="A22:H22"/>
    <mergeCell ref="B23:H23"/>
    <mergeCell ref="B24:H24"/>
    <mergeCell ref="B25:H25"/>
    <mergeCell ref="B26:H26"/>
    <mergeCell ref="B27:H27"/>
    <mergeCell ref="A29:H29"/>
    <mergeCell ref="A44:H44"/>
    <mergeCell ref="A57:H57"/>
  </mergeCells>
  <conditionalFormatting sqref="F42">
    <cfRule type="cellIs" priority="2" operator="greaterThan" aboveAverage="0" equalAverage="0" bottom="0" percent="0" rank="0" text="" dxfId="4">
      <formula>0.9</formula>
    </cfRule>
    <cfRule type="cellIs" priority="3" operator="between" aboveAverage="0" equalAverage="0" bottom="0" percent="0" rank="0" text="" dxfId="5">
      <formula>0.85</formula>
      <formula>0.9</formula>
    </cfRule>
  </conditionalFormatting>
  <dataValidations count="9">
    <dataValidation allowBlank="true" errorStyle="stop" operator="between" prompt="Identifica el pasillo tal como está rotulado en piso (ej. Pasillo 12, Zona A)." promptTitle="Pasillo o zona" showDropDown="false" showErrorMessage="false" showInputMessage="true" sqref="A32:A41" type="none">
      <formula1>0</formula1>
      <formula2>0</formula2>
    </dataValidation>
    <dataValidation allowBlank="true" error="Escribe un número igual o mayor que cero." errorStyle="stop" errorTitle="Solo números" operator="greaterThanOrEqual" prompt="El hueco está lleno: no cabe otro pallet. Un pallet que invade dos posiciones cuenta como 2." promptTitle="Posiciones ocupadas" showDropDown="false" showErrorMessage="true" showInputMessage="true" sqref="B32:B41" type="decimal">
      <formula1>0</formula1>
      <formula2>0</formula2>
    </dataValidation>
    <dataValidation allowBlank="true" error="Escribe un número igual o mayor que cero." errorStyle="stop" errorTitle="Solo números" operator="greaterThanOrEqual" prompt="Hay producto pero sobra espacio útil: media estiba, dos cajas sueltas, pallet bajo en hueco alto." promptTitle="Posiciones parciales" showDropDown="false" showErrorMessage="true" showInputMessage="true" sqref="C32:C41" type="decimal">
      <formula1>0</formula1>
      <formula2>0</formula2>
    </dataValidation>
    <dataValidation allowBlank="true" error="Escribe un número igual o mayor que cero." errorStyle="stop" errorTitle="Solo números" operator="greaterThanOrEqual" prompt="Sin nada. Una posición reservada en sistema pero físicamente vacía cuenta aquí." promptTitle="Posiciones vacías" showDropDown="false" showErrorMessage="true" showInputMessage="true" sqref="D32:D41" type="decimal">
      <formula1>0</formula1>
      <formula2>0</formula2>
    </dataValidation>
    <dataValidation allowBlank="true" errorStyle="stop" operator="between" prompt="Racks dañados, posiciones bloqueadas, producto sin rotular, cualquier cosa que llame la atención." promptTitle="Observación" showDropDown="false" showErrorMessage="false" showInputMessage="true" sqref="H32:H41" type="none">
      <formula1>0</formula1>
      <formula2>0</formula2>
    </dataValidation>
    <dataValidation allowBlank="true" error="Elige una de la lista." errorStyle="stop" errorTitle="Opción no válida" operator="between" prompt="Se llena en la segunda visita. Sí = el mismo producto con la etiqueta original. Parcial = quedó una parte." promptTitle="¿Sigue ahí a las 48 h?" showDropDown="false" showErrorMessage="false" showInputMessage="true" sqref="E47:E54" type="list">
      <formula1>"Sí,No,Parcial"</formula1>
      <formula2>0</formula2>
    </dataValidation>
    <dataValidation allowBlank="true" error="Escribe un número igual o mayor que cero." errorStyle="stop" errorTitle="Solo números" operator="greaterThanOrEqual" prompt="Cuántos etiquetaste en esa zona. Si es producto apilado sin pallet, calcula el equivalente." promptTitle="N.º de pallets" showDropDown="false" showErrorMessage="true" showInputMessage="true" sqref="B47:B54" type="decimal">
      <formula1>0</formula1>
      <formula2>0</formula2>
    </dataValidation>
    <dataValidation allowBlank="true" errorStyle="stop" operator="between" prompt="Qué es y de dónde viene. Ayuda a rastrear la causa después." promptTitle="Producto" showDropDown="false" showErrorMessage="false" showInputMessage="true" sqref="C47:C54" type="none">
      <formula1>0</formula1>
      <formula2>0</formula2>
    </dataValidation>
    <dataValidation allowBlank="true" errorStyle="stop" operator="between" prompt="La fecha que escribiste en la cinta. Formato DD/MM/AAAA." promptTitle="Fecha de la etiqueta" showDropDown="false" showErrorMessage="false" showInputMessage="true" sqref="D47:D54" type="non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6E00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8" topLeftCell="B29" activePane="bottomRight" state="frozen"/>
      <selection pane="topLeft" activeCell="A1" activeCellId="0" sqref="A1"/>
      <selection pane="topRight" activeCell="B1" activeCellId="0" sqref="B1"/>
      <selection pane="bottomLeft" activeCell="A29" activeCellId="0" sqref="A2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12" min="9" style="0" width="11"/>
    <col collapsed="false" customWidth="true" hidden="false" outlineLevel="0" max="13" min="13" style="0" width="15"/>
    <col collapsed="false" customWidth="true" hidden="false" outlineLevel="0" max="14" min="14" style="0" width="26"/>
  </cols>
  <sheetData>
    <row r="1" customFormat="false" ht="25.5" hidden="false" customHeight="true" outlineLevel="0" collapsed="false">
      <c r="A1" s="19" t="s">
        <v>229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customFormat="false" ht="15.75" hidden="false" customHeight="true" outlineLevel="0" collapsed="false">
      <c r="A2" s="20" t="s">
        <v>230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4" customFormat="false" ht="18.75" hidden="false" customHeight="true" outlineLevel="0" collapsed="false">
      <c r="A4" s="4" t="s">
        <v>161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customFormat="false" ht="16.5" hidden="false" customHeight="true" outlineLevel="0" collapsed="false">
      <c r="A5" s="35" t="s">
        <v>162</v>
      </c>
      <c r="B5" s="36" t="s">
        <v>231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</row>
    <row r="6" customFormat="false" ht="16.5" hidden="false" customHeight="true" outlineLevel="0" collapsed="false">
      <c r="A6" s="35" t="s">
        <v>164</v>
      </c>
      <c r="B6" s="36" t="s">
        <v>232</v>
      </c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 customFormat="false" ht="16.5" hidden="false" customHeight="true" outlineLevel="0" collapsed="false">
      <c r="A7" s="35" t="s">
        <v>166</v>
      </c>
      <c r="B7" s="36" t="s">
        <v>233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</row>
    <row r="8" customFormat="false" ht="16.5" hidden="false" customHeight="true" outlineLevel="0" collapsed="false">
      <c r="A8" s="35" t="s">
        <v>168</v>
      </c>
      <c r="B8" s="36" t="s">
        <v>234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</row>
    <row r="9" customFormat="false" ht="18.75" hidden="false" customHeight="true" outlineLevel="0" collapsed="false">
      <c r="A9" s="7" t="s">
        <v>170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customFormat="false" ht="16.5" hidden="false" customHeight="true" outlineLevel="0" collapsed="false">
      <c r="A10" s="37" t="s">
        <v>171</v>
      </c>
      <c r="B10" s="36" t="s">
        <v>235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</row>
    <row r="11" customFormat="false" ht="16.5" hidden="false" customHeight="true" outlineLevel="0" collapsed="false">
      <c r="A11" s="37" t="s">
        <v>173</v>
      </c>
      <c r="B11" s="36" t="s">
        <v>236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</row>
    <row r="12" customFormat="false" ht="16.5" hidden="false" customHeight="true" outlineLevel="0" collapsed="false">
      <c r="A12" s="37" t="s">
        <v>175</v>
      </c>
      <c r="B12" s="36" t="s">
        <v>237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</row>
    <row r="13" customFormat="false" ht="16.5" hidden="false" customHeight="true" outlineLevel="0" collapsed="false">
      <c r="A13" s="37" t="s">
        <v>177</v>
      </c>
      <c r="B13" s="36" t="s">
        <v>238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</row>
    <row r="14" customFormat="false" ht="16.5" hidden="false" customHeight="true" outlineLevel="0" collapsed="false">
      <c r="A14" s="37" t="s">
        <v>179</v>
      </c>
      <c r="B14" s="36" t="s">
        <v>239</v>
      </c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</row>
    <row r="15" customFormat="false" ht="16.5" hidden="false" customHeight="true" outlineLevel="0" collapsed="false">
      <c r="A15" s="37" t="s">
        <v>181</v>
      </c>
      <c r="B15" s="36" t="s">
        <v>240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</row>
    <row r="16" customFormat="false" ht="18.75" hidden="false" customHeight="true" outlineLevel="0" collapsed="false">
      <c r="A16" s="7" t="s">
        <v>183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customFormat="false" ht="16.5" hidden="false" customHeight="true" outlineLevel="0" collapsed="false">
      <c r="A17" s="37" t="s">
        <v>184</v>
      </c>
      <c r="B17" s="36" t="s">
        <v>241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</row>
    <row r="18" customFormat="false" ht="16.5" hidden="false" customHeight="true" outlineLevel="0" collapsed="false">
      <c r="A18" s="37" t="s">
        <v>184</v>
      </c>
      <c r="B18" s="36" t="s">
        <v>242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</row>
    <row r="19" customFormat="false" ht="16.5" hidden="false" customHeight="true" outlineLevel="0" collapsed="false">
      <c r="A19" s="37" t="s">
        <v>184</v>
      </c>
      <c r="B19" s="36" t="s">
        <v>243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</row>
    <row r="20" customFormat="false" ht="16.5" hidden="false" customHeight="true" outlineLevel="0" collapsed="false">
      <c r="A20" s="37" t="s">
        <v>184</v>
      </c>
      <c r="B20" s="36" t="s">
        <v>244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</row>
    <row r="21" customFormat="false" ht="16.5" hidden="false" customHeight="true" outlineLevel="0" collapsed="false">
      <c r="A21" s="37" t="s">
        <v>184</v>
      </c>
      <c r="B21" s="36" t="s">
        <v>245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</row>
    <row r="22" customFormat="false" ht="18.75" hidden="false" customHeight="true" outlineLevel="0" collapsed="false">
      <c r="A22" s="38" t="s">
        <v>190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</row>
    <row r="23" customFormat="false" ht="16.5" hidden="false" customHeight="true" outlineLevel="0" collapsed="false">
      <c r="A23" s="39" t="s">
        <v>191</v>
      </c>
      <c r="B23" s="36" t="s">
        <v>246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</row>
    <row r="24" customFormat="false" ht="16.5" hidden="false" customHeight="true" outlineLevel="0" collapsed="false">
      <c r="A24" s="39" t="s">
        <v>191</v>
      </c>
      <c r="B24" s="36" t="s">
        <v>247</v>
      </c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</row>
    <row r="25" customFormat="false" ht="16.5" hidden="false" customHeight="true" outlineLevel="0" collapsed="false">
      <c r="A25" s="39" t="s">
        <v>191</v>
      </c>
      <c r="B25" s="36" t="s">
        <v>248</v>
      </c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</row>
    <row r="26" customFormat="false" ht="16.5" hidden="false" customHeight="true" outlineLevel="0" collapsed="false">
      <c r="A26" s="39" t="s">
        <v>191</v>
      </c>
      <c r="B26" s="36" t="s">
        <v>249</v>
      </c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</row>
    <row r="28" customFormat="false" ht="33.75" hidden="false" customHeight="true" outlineLevel="0" collapsed="false">
      <c r="A28" s="8" t="s">
        <v>250</v>
      </c>
      <c r="B28" s="8" t="s">
        <v>251</v>
      </c>
      <c r="C28" s="8" t="s">
        <v>252</v>
      </c>
      <c r="D28" s="8" t="s">
        <v>253</v>
      </c>
      <c r="E28" s="8" t="s">
        <v>254</v>
      </c>
      <c r="F28" s="8" t="s">
        <v>255</v>
      </c>
      <c r="G28" s="8" t="s">
        <v>256</v>
      </c>
      <c r="H28" s="8" t="s">
        <v>257</v>
      </c>
      <c r="I28" s="8" t="s">
        <v>258</v>
      </c>
      <c r="J28" s="8" t="s">
        <v>259</v>
      </c>
      <c r="K28" s="8" t="s">
        <v>260</v>
      </c>
      <c r="L28" s="8" t="s">
        <v>261</v>
      </c>
      <c r="M28" s="8" t="s">
        <v>262</v>
      </c>
      <c r="N28" s="8" t="s">
        <v>116</v>
      </c>
    </row>
    <row r="29" customFormat="false" ht="24" hidden="false" customHeight="true" outlineLevel="0" collapsed="false">
      <c r="A29" s="40" t="s">
        <v>263</v>
      </c>
      <c r="B29" s="40" t="s">
        <v>264</v>
      </c>
      <c r="C29" s="40" t="n">
        <v>412</v>
      </c>
      <c r="D29" s="40" t="n">
        <v>298</v>
      </c>
      <c r="E29" s="40" t="n">
        <f aca="false">IF(OR($C29="",$D29=""),"",$C29+$D29)</f>
        <v>710</v>
      </c>
      <c r="F29" s="41" t="n">
        <f aca="false">IF($E29="","",$C29/$E29)</f>
        <v>0.580281690140845</v>
      </c>
      <c r="G29" s="40" t="n">
        <v>22</v>
      </c>
      <c r="H29" s="48" t="n">
        <f aca="false">IF(OR($E29="",$G29=""),"",IFERROR($E29/$G29,""))</f>
        <v>32.2727272727273</v>
      </c>
      <c r="I29" s="40" t="n">
        <v>3</v>
      </c>
      <c r="J29" s="40" t="n">
        <v>1</v>
      </c>
      <c r="K29" s="40" t="n">
        <v>0</v>
      </c>
      <c r="L29" s="40" t="n">
        <v>2</v>
      </c>
      <c r="M29" s="40" t="s">
        <v>265</v>
      </c>
      <c r="N29" s="40" t="s">
        <v>266</v>
      </c>
    </row>
    <row r="30" customFormat="false" ht="18.75" hidden="false" customHeight="true" outlineLevel="0" collapsed="false">
      <c r="A30" s="34"/>
      <c r="B30" s="33"/>
      <c r="C30" s="33"/>
      <c r="D30" s="33"/>
      <c r="E30" s="42" t="str">
        <f aca="false">IF(OR($C30="",$D30=""),"",$C30+$D30)</f>
        <v/>
      </c>
      <c r="F30" s="43" t="str">
        <f aca="false">IF($E30="","",$C30/$E30)</f>
        <v/>
      </c>
      <c r="G30" s="33"/>
      <c r="H30" s="49" t="str">
        <f aca="false">IF(OR($E30="",$G30=""),"",IFERROR($E30/$G30,""))</f>
        <v/>
      </c>
      <c r="I30" s="33"/>
      <c r="J30" s="33"/>
      <c r="K30" s="33"/>
      <c r="L30" s="33"/>
      <c r="M30" s="33"/>
      <c r="N30" s="34"/>
    </row>
    <row r="31" customFormat="false" ht="18.75" hidden="false" customHeight="true" outlineLevel="0" collapsed="false">
      <c r="A31" s="34"/>
      <c r="B31" s="33"/>
      <c r="C31" s="33"/>
      <c r="D31" s="33"/>
      <c r="E31" s="42" t="str">
        <f aca="false">IF(OR($C31="",$D31=""),"",$C31+$D31)</f>
        <v/>
      </c>
      <c r="F31" s="43" t="str">
        <f aca="false">IF($E31="","",$C31/$E31)</f>
        <v/>
      </c>
      <c r="G31" s="33"/>
      <c r="H31" s="49" t="str">
        <f aca="false">IF(OR($E31="",$G31=""),"",IFERROR($E31/$G31,""))</f>
        <v/>
      </c>
      <c r="I31" s="33"/>
      <c r="J31" s="33"/>
      <c r="K31" s="33"/>
      <c r="L31" s="33"/>
      <c r="M31" s="33"/>
      <c r="N31" s="34"/>
    </row>
    <row r="32" customFormat="false" ht="18.75" hidden="false" customHeight="true" outlineLevel="0" collapsed="false">
      <c r="A32" s="34"/>
      <c r="B32" s="33"/>
      <c r="C32" s="33"/>
      <c r="D32" s="33"/>
      <c r="E32" s="42" t="str">
        <f aca="false">IF(OR($C32="",$D32=""),"",$C32+$D32)</f>
        <v/>
      </c>
      <c r="F32" s="43" t="str">
        <f aca="false">IF($E32="","",$C32/$E32)</f>
        <v/>
      </c>
      <c r="G32" s="33"/>
      <c r="H32" s="49" t="str">
        <f aca="false">IF(OR($E32="",$G32=""),"",IFERROR($E32/$G32,""))</f>
        <v/>
      </c>
      <c r="I32" s="33"/>
      <c r="J32" s="33"/>
      <c r="K32" s="33"/>
      <c r="L32" s="33"/>
      <c r="M32" s="33"/>
      <c r="N32" s="34"/>
    </row>
    <row r="33" customFormat="false" ht="18.75" hidden="false" customHeight="true" outlineLevel="0" collapsed="false">
      <c r="A33" s="34"/>
      <c r="B33" s="33"/>
      <c r="C33" s="33"/>
      <c r="D33" s="33"/>
      <c r="E33" s="42" t="str">
        <f aca="false">IF(OR($C33="",$D33=""),"",$C33+$D33)</f>
        <v/>
      </c>
      <c r="F33" s="43" t="str">
        <f aca="false">IF($E33="","",$C33/$E33)</f>
        <v/>
      </c>
      <c r="G33" s="33"/>
      <c r="H33" s="49" t="str">
        <f aca="false">IF(OR($E33="",$G33=""),"",IFERROR($E33/$G33,""))</f>
        <v/>
      </c>
      <c r="I33" s="33"/>
      <c r="J33" s="33"/>
      <c r="K33" s="33"/>
      <c r="L33" s="33"/>
      <c r="M33" s="33"/>
      <c r="N33" s="34"/>
    </row>
    <row r="34" customFormat="false" ht="18.75" hidden="false" customHeight="true" outlineLevel="0" collapsed="false">
      <c r="A34" s="34"/>
      <c r="B34" s="33"/>
      <c r="C34" s="33"/>
      <c r="D34" s="33"/>
      <c r="E34" s="42" t="str">
        <f aca="false">IF(OR($C34="",$D34=""),"",$C34+$D34)</f>
        <v/>
      </c>
      <c r="F34" s="43" t="str">
        <f aca="false">IF($E34="","",$C34/$E34)</f>
        <v/>
      </c>
      <c r="G34" s="33"/>
      <c r="H34" s="49" t="str">
        <f aca="false">IF(OR($E34="",$G34=""),"",IFERROR($E34/$G34,""))</f>
        <v/>
      </c>
      <c r="I34" s="33"/>
      <c r="J34" s="33"/>
      <c r="K34" s="33"/>
      <c r="L34" s="33"/>
      <c r="M34" s="33"/>
      <c r="N34" s="34"/>
    </row>
    <row r="35" customFormat="false" ht="18.75" hidden="false" customHeight="true" outlineLevel="0" collapsed="false">
      <c r="A35" s="34"/>
      <c r="B35" s="33"/>
      <c r="C35" s="33"/>
      <c r="D35" s="33"/>
      <c r="E35" s="42" t="str">
        <f aca="false">IF(OR($C35="",$D35=""),"",$C35+$D35)</f>
        <v/>
      </c>
      <c r="F35" s="43" t="str">
        <f aca="false">IF($E35="","",$C35/$E35)</f>
        <v/>
      </c>
      <c r="G35" s="33"/>
      <c r="H35" s="49" t="str">
        <f aca="false">IF(OR($E35="",$G35=""),"",IFERROR($E35/$G35,""))</f>
        <v/>
      </c>
      <c r="I35" s="33"/>
      <c r="J35" s="33"/>
      <c r="K35" s="33"/>
      <c r="L35" s="33"/>
      <c r="M35" s="33"/>
      <c r="N35" s="34"/>
    </row>
    <row r="36" customFormat="false" ht="18.75" hidden="false" customHeight="true" outlineLevel="0" collapsed="false">
      <c r="A36" s="34"/>
      <c r="B36" s="33"/>
      <c r="C36" s="33"/>
      <c r="D36" s="33"/>
      <c r="E36" s="42" t="str">
        <f aca="false">IF(OR($C36="",$D36=""),"",$C36+$D36)</f>
        <v/>
      </c>
      <c r="F36" s="43" t="str">
        <f aca="false">IF($E36="","",$C36/$E36)</f>
        <v/>
      </c>
      <c r="G36" s="33"/>
      <c r="H36" s="49" t="str">
        <f aca="false">IF(OR($E36="",$G36=""),"",IFERROR($E36/$G36,""))</f>
        <v/>
      </c>
      <c r="I36" s="33"/>
      <c r="J36" s="33"/>
      <c r="K36" s="33"/>
      <c r="L36" s="33"/>
      <c r="M36" s="33"/>
      <c r="N36" s="34"/>
    </row>
    <row r="37" customFormat="false" ht="18.75" hidden="false" customHeight="true" outlineLevel="0" collapsed="false">
      <c r="A37" s="34"/>
      <c r="B37" s="33"/>
      <c r="C37" s="33"/>
      <c r="D37" s="33"/>
      <c r="E37" s="42" t="str">
        <f aca="false">IF(OR($C37="",$D37=""),"",$C37+$D37)</f>
        <v/>
      </c>
      <c r="F37" s="43" t="str">
        <f aca="false">IF($E37="","",$C37/$E37)</f>
        <v/>
      </c>
      <c r="G37" s="33"/>
      <c r="H37" s="49" t="str">
        <f aca="false">IF(OR($E37="",$G37=""),"",IFERROR($E37/$G37,""))</f>
        <v/>
      </c>
      <c r="I37" s="33"/>
      <c r="J37" s="33"/>
      <c r="K37" s="33"/>
      <c r="L37" s="33"/>
      <c r="M37" s="33"/>
      <c r="N37" s="34"/>
    </row>
    <row r="38" customFormat="false" ht="24" hidden="false" customHeight="true" outlineLevel="0" collapsed="false">
      <c r="A38" s="44" t="s">
        <v>267</v>
      </c>
      <c r="B38" s="45"/>
      <c r="C38" s="45" t="str">
        <f aca="false">IF(SUM(C30:C37)=0,"",SUM(C30:C37))</f>
        <v/>
      </c>
      <c r="D38" s="45" t="str">
        <f aca="false">IF(SUM(D30:D37)=0,"",SUM(D30:D37))</f>
        <v/>
      </c>
      <c r="E38" s="45" t="str">
        <f aca="false">IF(SUM(E30:E37)=0,"",SUM(E30:E37))</f>
        <v/>
      </c>
      <c r="F38" s="46" t="str">
        <f aca="false">IF(SUM($E$30:$E$37)=0,"",SUM($C$30:$C$37)/SUM($E$30:$E$37))</f>
        <v/>
      </c>
      <c r="G38" s="45" t="str">
        <f aca="false">IF(SUM(G30:G37)=0,"",SUM(G30:G37))</f>
        <v/>
      </c>
      <c r="H38" s="50" t="str">
        <f aca="false">IF(OR(SUM($E$30:$E$37)=0,SUM($G$30:$G$37)=0),"",SUM($E$30:$E$37)/SUM($G$30:$G$37))</f>
        <v/>
      </c>
      <c r="I38" s="45" t="str">
        <f aca="false">IF(SUM(I30:I37)=0,"",SUM(I30:I37))</f>
        <v/>
      </c>
      <c r="J38" s="45" t="str">
        <f aca="false">IF(SUM(J30:J37)=0,"",SUM(J30:J37))</f>
        <v/>
      </c>
      <c r="K38" s="45" t="str">
        <f aca="false">IF(SUM(K30:K37)=0,"",SUM(K30:K37))</f>
        <v/>
      </c>
      <c r="L38" s="45" t="str">
        <f aca="false">IF(SUM(L30:L37)=0,"",SUM(L30:L37))</f>
        <v/>
      </c>
      <c r="M38" s="45"/>
      <c r="N38" s="45"/>
    </row>
    <row r="40" customFormat="false" ht="30.75" hidden="false" customHeight="true" outlineLevel="0" collapsed="false">
      <c r="A40" s="18" t="s">
        <v>268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</row>
  </sheetData>
  <mergeCells count="26">
    <mergeCell ref="A1:N1"/>
    <mergeCell ref="A2:N2"/>
    <mergeCell ref="A4:N4"/>
    <mergeCell ref="B5:N5"/>
    <mergeCell ref="B6:N6"/>
    <mergeCell ref="B7:N7"/>
    <mergeCell ref="B8:N8"/>
    <mergeCell ref="A9:N9"/>
    <mergeCell ref="B10:N10"/>
    <mergeCell ref="B11:N11"/>
    <mergeCell ref="B12:N12"/>
    <mergeCell ref="B13:N13"/>
    <mergeCell ref="B14:N14"/>
    <mergeCell ref="B15:N15"/>
    <mergeCell ref="A16:N16"/>
    <mergeCell ref="B17:N17"/>
    <mergeCell ref="B18:N18"/>
    <mergeCell ref="B19:N19"/>
    <mergeCell ref="B20:N20"/>
    <mergeCell ref="B21:N21"/>
    <mergeCell ref="A22:N22"/>
    <mergeCell ref="B23:N23"/>
    <mergeCell ref="B24:N24"/>
    <mergeCell ref="B25:N25"/>
    <mergeCell ref="B26:N26"/>
    <mergeCell ref="A40:N40"/>
  </mergeCells>
  <conditionalFormatting sqref="F38">
    <cfRule type="cellIs" priority="2" operator="greaterThan" aboveAverage="0" equalAverage="0" bottom="0" percent="0" rank="0" text="" dxfId="4">
      <formula>0.5</formula>
    </cfRule>
  </conditionalFormatting>
  <dataValidations count="10">
    <dataValidation allowBlank="true" errorStyle="stop" operator="between" prompt="Nombre o código. Anota también el puesto si alista en más de una zona." promptTitle="Operario" showDropDown="false" showErrorMessage="false" showInputMessage="true" sqref="A30:A37" type="none">
      <formula1>0</formula1>
      <formula2>0</formula2>
    </dataValidation>
    <dataValidation allowBlank="true" errorStyle="stop" operator="between" prompt="Cuánto lleva en el cargo. Menos de 90 días explica buena parte de los errores." promptTitle="Antigüedad" showDropDown="false" showErrorMessage="false" showInputMessage="true" sqref="B30:B37" type="none">
      <formula1>0</formula1>
      <formula2>0</formula2>
    </dataValidation>
    <dataValidation allowBlank="true" error="Escribe un número igual o mayor que cero." errorStyle="stop" errorTitle="Solo números" operator="greaterThanOrEqual" prompt="Desplazándose sin manipular producto. El regreso al punto de partida cuenta aquí." promptTitle="Segundos caminando" showDropDown="false" showErrorMessage="true" showInputMessage="true" sqref="C30:C37" type="decimal">
      <formula1>0</formula1>
      <formula2>0</formula2>
    </dataValidation>
    <dataValidation allowBlank="true" error="Escribe un número igual o mayor que cero." errorStyle="stop" errorTitle="Solo números" operator="greaterThanOrEqual" prompt="Tomar, contar, empacar, rotular, escanear. Buscar parado frente a la posición cuenta aquí." promptTitle="Segundos tomando" showDropDown="false" showErrorMessage="true" showInputMessage="true" sqref="D30:D37" type="decimal">
      <formula1>0</formula1>
      <formula2>0</formula2>
    </dataValidation>
    <dataValidation allowBlank="true" error="Escribe un número igual o mayor que cero." errorStyle="stop" errorTitle="Solo números" operator="greaterThanOrEqual" prompt="Cuántas referencias distintas tenía el pedido de ese ciclo. Es el denominador de los agotados." promptTitle="Líneas del pedido" showDropDown="false" showErrorMessage="true" showInputMessage="true" sqref="G30:G37" type="decimal">
      <formula1>0</formula1>
      <formula2>0</formula2>
    </dataValidation>
    <dataValidation allowBlank="true" error="Escribe un número igual o mayor que cero." errorStyle="stop" errorTitle="Solo números" operator="greaterThanOrEqual" prompt="Veces que el producto no estaba donde el sistema decía." promptTitle="No encontró" showDropDown="false" showErrorMessage="true" showInputMessage="true" sqref="I30:I37" type="decimal">
      <formula1>0</formula1>
      <formula2>0</formula2>
    </dataValidation>
    <dataValidation allowBlank="true" error="Escribe un número igual o mayor que cero." errorStyle="stop" errorTitle="Solo números" operator="greaterThanOrEqual" prompt="Veces que la posición de picking estaba agotada. Alimenta el indicador de agotados por 100 líneas." promptTitle="Posición vacía" showDropDown="false" showErrorMessage="true" showInputMessage="true" sqref="J30:J37" type="decimal">
      <formula1>0</formula1>
      <formula2>0</formula2>
    </dataValidation>
    <dataValidation allowBlank="true" error="Escribe un número igual o mayor que cero." errorStyle="stop" errorTitle="Solo números" operator="greaterThanOrEqual" prompt="Veces que tuvo que devolver producto ya tomado." promptTitle="Devolvió" showDropDown="false" showErrorMessage="true" showInputMessage="true" sqref="K30:K37" type="decimal">
      <formula1>0</formula1>
      <formula2>0</formula2>
    </dataValidation>
    <dataValidation allowBlank="true" error="Escribe un número igual o mayor que cero." errorStyle="stop" errorTitle="Solo números" operator="greaterThanOrEqual" prompt="Veces que tuvo que preguntarle algo a alguien para continuar." promptTitle="Preguntó" showDropDown="false" showErrorMessage="true" showInputMessage="true" sqref="L30:L37" type="decimal">
      <formula1>0</formula1>
      <formula2>0</formula2>
    </dataValidation>
    <dataValidation allowBlank="true" error="Elige una de la lista." errorStyle="stop" errorTitle="Opción no válida" operator="between" prompt="Sí = leyó el scanner en todas. Parcial = en algunas. No = trabajó de memoria o por lista." promptTitle="¿Escaneó cada línea?" showDropDown="false" showErrorMessage="false" showInputMessage="true" sqref="M30:M37" type="list">
      <formula1>"Sí,No,Parcial"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6E00"/>
    <pageSetUpPr fitToPage="true"/>
  </sheetPr>
  <dimension ref="A1:H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9" topLeftCell="A3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5" min="4" style="0" width="15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9" t="s">
        <v>269</v>
      </c>
      <c r="B1" s="19"/>
      <c r="C1" s="19"/>
      <c r="D1" s="19"/>
      <c r="E1" s="19"/>
      <c r="F1" s="19"/>
      <c r="G1" s="19"/>
      <c r="H1" s="19"/>
    </row>
    <row r="2" customFormat="false" ht="15.75" hidden="false" customHeight="true" outlineLevel="0" collapsed="false">
      <c r="A2" s="20" t="s">
        <v>270</v>
      </c>
      <c r="B2" s="20"/>
      <c r="C2" s="20"/>
      <c r="D2" s="20"/>
      <c r="E2" s="20"/>
      <c r="F2" s="20"/>
      <c r="G2" s="20"/>
      <c r="H2" s="20"/>
    </row>
    <row r="4" customFormat="false" ht="18.75" hidden="false" customHeight="true" outlineLevel="0" collapsed="false">
      <c r="A4" s="4" t="s">
        <v>161</v>
      </c>
      <c r="B4" s="4"/>
      <c r="C4" s="4"/>
      <c r="D4" s="4"/>
      <c r="E4" s="4"/>
      <c r="F4" s="4"/>
      <c r="G4" s="4"/>
      <c r="H4" s="4"/>
    </row>
    <row r="5" customFormat="false" ht="16.5" hidden="false" customHeight="true" outlineLevel="0" collapsed="false">
      <c r="A5" s="35" t="s">
        <v>162</v>
      </c>
      <c r="B5" s="36" t="s">
        <v>271</v>
      </c>
      <c r="C5" s="36"/>
      <c r="D5" s="36"/>
      <c r="E5" s="36"/>
      <c r="F5" s="36"/>
      <c r="G5" s="36"/>
      <c r="H5" s="36"/>
    </row>
    <row r="6" customFormat="false" ht="16.5" hidden="false" customHeight="true" outlineLevel="0" collapsed="false">
      <c r="A6" s="35" t="s">
        <v>164</v>
      </c>
      <c r="B6" s="36" t="s">
        <v>272</v>
      </c>
      <c r="C6" s="36"/>
      <c r="D6" s="36"/>
      <c r="E6" s="36"/>
      <c r="F6" s="36"/>
      <c r="G6" s="36"/>
      <c r="H6" s="36"/>
    </row>
    <row r="7" customFormat="false" ht="16.5" hidden="false" customHeight="true" outlineLevel="0" collapsed="false">
      <c r="A7" s="35" t="s">
        <v>166</v>
      </c>
      <c r="B7" s="36" t="s">
        <v>273</v>
      </c>
      <c r="C7" s="36"/>
      <c r="D7" s="36"/>
      <c r="E7" s="36"/>
      <c r="F7" s="36"/>
      <c r="G7" s="36"/>
      <c r="H7" s="36"/>
    </row>
    <row r="8" customFormat="false" ht="16.5" hidden="false" customHeight="true" outlineLevel="0" collapsed="false">
      <c r="A8" s="35" t="s">
        <v>168</v>
      </c>
      <c r="B8" s="36" t="s">
        <v>274</v>
      </c>
      <c r="C8" s="36"/>
      <c r="D8" s="36"/>
      <c r="E8" s="36"/>
      <c r="F8" s="36"/>
      <c r="G8" s="36"/>
      <c r="H8" s="36"/>
    </row>
    <row r="9" customFormat="false" ht="18.75" hidden="false" customHeight="true" outlineLevel="0" collapsed="false">
      <c r="A9" s="7" t="s">
        <v>170</v>
      </c>
      <c r="B9" s="7"/>
      <c r="C9" s="7"/>
      <c r="D9" s="7"/>
      <c r="E9" s="7"/>
      <c r="F9" s="7"/>
      <c r="G9" s="7"/>
      <c r="H9" s="7"/>
    </row>
    <row r="10" customFormat="false" ht="16.5" hidden="false" customHeight="true" outlineLevel="0" collapsed="false">
      <c r="A10" s="37" t="s">
        <v>171</v>
      </c>
      <c r="B10" s="36" t="s">
        <v>275</v>
      </c>
      <c r="C10" s="36"/>
      <c r="D10" s="36"/>
      <c r="E10" s="36"/>
      <c r="F10" s="36"/>
      <c r="G10" s="36"/>
      <c r="H10" s="36"/>
    </row>
    <row r="11" customFormat="false" ht="16.5" hidden="false" customHeight="true" outlineLevel="0" collapsed="false">
      <c r="A11" s="37" t="s">
        <v>173</v>
      </c>
      <c r="B11" s="36" t="s">
        <v>276</v>
      </c>
      <c r="C11" s="36"/>
      <c r="D11" s="36"/>
      <c r="E11" s="36"/>
      <c r="F11" s="36"/>
      <c r="G11" s="36"/>
      <c r="H11" s="36"/>
    </row>
    <row r="12" customFormat="false" ht="16.5" hidden="false" customHeight="true" outlineLevel="0" collapsed="false">
      <c r="A12" s="37" t="s">
        <v>175</v>
      </c>
      <c r="B12" s="36" t="s">
        <v>277</v>
      </c>
      <c r="C12" s="36"/>
      <c r="D12" s="36"/>
      <c r="E12" s="36"/>
      <c r="F12" s="36"/>
      <c r="G12" s="36"/>
      <c r="H12" s="36"/>
    </row>
    <row r="13" customFormat="false" ht="16.5" hidden="false" customHeight="true" outlineLevel="0" collapsed="false">
      <c r="A13" s="37" t="s">
        <v>177</v>
      </c>
      <c r="B13" s="36" t="s">
        <v>278</v>
      </c>
      <c r="C13" s="36"/>
      <c r="D13" s="36"/>
      <c r="E13" s="36"/>
      <c r="F13" s="36"/>
      <c r="G13" s="36"/>
      <c r="H13" s="36"/>
    </row>
    <row r="14" customFormat="false" ht="16.5" hidden="false" customHeight="true" outlineLevel="0" collapsed="false">
      <c r="A14" s="37" t="s">
        <v>179</v>
      </c>
      <c r="B14" s="36" t="s">
        <v>279</v>
      </c>
      <c r="C14" s="36"/>
      <c r="D14" s="36"/>
      <c r="E14" s="36"/>
      <c r="F14" s="36"/>
      <c r="G14" s="36"/>
      <c r="H14" s="36"/>
    </row>
    <row r="15" customFormat="false" ht="18.75" hidden="false" customHeight="true" outlineLevel="0" collapsed="false">
      <c r="A15" s="7" t="s">
        <v>183</v>
      </c>
      <c r="B15" s="7"/>
      <c r="C15" s="7"/>
      <c r="D15" s="7"/>
      <c r="E15" s="7"/>
      <c r="F15" s="7"/>
      <c r="G15" s="7"/>
      <c r="H15" s="7"/>
    </row>
    <row r="16" customFormat="false" ht="16.5" hidden="false" customHeight="true" outlineLevel="0" collapsed="false">
      <c r="A16" s="37" t="s">
        <v>184</v>
      </c>
      <c r="B16" s="36" t="s">
        <v>280</v>
      </c>
      <c r="C16" s="36"/>
      <c r="D16" s="36"/>
      <c r="E16" s="36"/>
      <c r="F16" s="36"/>
      <c r="G16" s="36"/>
      <c r="H16" s="36"/>
    </row>
    <row r="17" customFormat="false" ht="16.5" hidden="false" customHeight="true" outlineLevel="0" collapsed="false">
      <c r="A17" s="37" t="s">
        <v>184</v>
      </c>
      <c r="B17" s="36" t="s">
        <v>281</v>
      </c>
      <c r="C17" s="36"/>
      <c r="D17" s="36"/>
      <c r="E17" s="36"/>
      <c r="F17" s="36"/>
      <c r="G17" s="36"/>
      <c r="H17" s="36"/>
    </row>
    <row r="18" customFormat="false" ht="16.5" hidden="false" customHeight="true" outlineLevel="0" collapsed="false">
      <c r="A18" s="37" t="s">
        <v>184</v>
      </c>
      <c r="B18" s="36" t="s">
        <v>282</v>
      </c>
      <c r="C18" s="36"/>
      <c r="D18" s="36"/>
      <c r="E18" s="36"/>
      <c r="F18" s="36"/>
      <c r="G18" s="36"/>
      <c r="H18" s="36"/>
    </row>
    <row r="19" customFormat="false" ht="16.5" hidden="false" customHeight="true" outlineLevel="0" collapsed="false">
      <c r="A19" s="37" t="s">
        <v>184</v>
      </c>
      <c r="B19" s="36" t="s">
        <v>283</v>
      </c>
      <c r="C19" s="36"/>
      <c r="D19" s="36"/>
      <c r="E19" s="36"/>
      <c r="F19" s="36"/>
      <c r="G19" s="36"/>
      <c r="H19" s="36"/>
    </row>
    <row r="20" customFormat="false" ht="16.5" hidden="false" customHeight="true" outlineLevel="0" collapsed="false">
      <c r="A20" s="37" t="s">
        <v>184</v>
      </c>
      <c r="B20" s="36" t="s">
        <v>284</v>
      </c>
      <c r="C20" s="36"/>
      <c r="D20" s="36"/>
      <c r="E20" s="36"/>
      <c r="F20" s="36"/>
      <c r="G20" s="36"/>
      <c r="H20" s="36"/>
    </row>
    <row r="21" customFormat="false" ht="18.75" hidden="false" customHeight="true" outlineLevel="0" collapsed="false">
      <c r="A21" s="38" t="s">
        <v>190</v>
      </c>
      <c r="B21" s="38"/>
      <c r="C21" s="38"/>
      <c r="D21" s="38"/>
      <c r="E21" s="38"/>
      <c r="F21" s="38"/>
      <c r="G21" s="38"/>
      <c r="H21" s="38"/>
    </row>
    <row r="22" customFormat="false" ht="16.5" hidden="false" customHeight="true" outlineLevel="0" collapsed="false">
      <c r="A22" s="39" t="s">
        <v>191</v>
      </c>
      <c r="B22" s="36" t="s">
        <v>285</v>
      </c>
      <c r="C22" s="36"/>
      <c r="D22" s="36"/>
      <c r="E22" s="36"/>
      <c r="F22" s="36"/>
      <c r="G22" s="36"/>
      <c r="H22" s="36"/>
    </row>
    <row r="23" customFormat="false" ht="16.5" hidden="false" customHeight="true" outlineLevel="0" collapsed="false">
      <c r="A23" s="39" t="s">
        <v>191</v>
      </c>
      <c r="B23" s="36" t="s">
        <v>286</v>
      </c>
      <c r="C23" s="36"/>
      <c r="D23" s="36"/>
      <c r="E23" s="36"/>
      <c r="F23" s="36"/>
      <c r="G23" s="36"/>
      <c r="H23" s="36"/>
    </row>
    <row r="24" customFormat="false" ht="16.5" hidden="false" customHeight="true" outlineLevel="0" collapsed="false">
      <c r="A24" s="39" t="s">
        <v>191</v>
      </c>
      <c r="B24" s="36" t="s">
        <v>287</v>
      </c>
      <c r="C24" s="36"/>
      <c r="D24" s="36"/>
      <c r="E24" s="36"/>
      <c r="F24" s="36"/>
      <c r="G24" s="36"/>
      <c r="H24" s="36"/>
    </row>
    <row r="25" customFormat="false" ht="16.5" hidden="false" customHeight="true" outlineLevel="0" collapsed="false">
      <c r="A25" s="39" t="s">
        <v>191</v>
      </c>
      <c r="B25" s="36" t="s">
        <v>288</v>
      </c>
      <c r="C25" s="36"/>
      <c r="D25" s="36"/>
      <c r="E25" s="36"/>
      <c r="F25" s="36"/>
      <c r="G25" s="36"/>
      <c r="H25" s="36"/>
    </row>
    <row r="27" customFormat="false" ht="24" hidden="false" customHeight="true" outlineLevel="0" collapsed="false">
      <c r="A27" s="30" t="s">
        <v>289</v>
      </c>
      <c r="B27" s="27" t="n">
        <f aca="false">COUNTIF($F$31:$F$130,"SÍ")+COUNTIF($F$31:$F$130,"NO")</f>
        <v>0</v>
      </c>
      <c r="C27" s="30" t="s">
        <v>290</v>
      </c>
      <c r="D27" s="27" t="n">
        <f aca="false">COUNTIF($F$31:$F$130,"SÍ")</f>
        <v>0</v>
      </c>
      <c r="E27" s="30" t="s">
        <v>291</v>
      </c>
      <c r="F27" s="22" t="str">
        <f aca="false">IF($B$27=0,"",$D$27/$B$27)</f>
        <v/>
      </c>
    </row>
    <row r="29" customFormat="false" ht="33.75" hidden="false" customHeight="true" outlineLevel="0" collapsed="false">
      <c r="A29" s="8" t="s">
        <v>109</v>
      </c>
      <c r="B29" s="8" t="s">
        <v>292</v>
      </c>
      <c r="C29" s="8" t="s">
        <v>293</v>
      </c>
      <c r="D29" s="8" t="s">
        <v>294</v>
      </c>
      <c r="E29" s="8" t="s">
        <v>295</v>
      </c>
      <c r="F29" s="8" t="s">
        <v>296</v>
      </c>
      <c r="G29" s="8" t="s">
        <v>297</v>
      </c>
      <c r="H29" s="8" t="s">
        <v>116</v>
      </c>
    </row>
    <row r="30" customFormat="false" ht="24" hidden="false" customHeight="true" outlineLevel="0" collapsed="false">
      <c r="A30" s="40" t="s">
        <v>298</v>
      </c>
      <c r="B30" s="40" t="s">
        <v>299</v>
      </c>
      <c r="C30" s="40" t="s">
        <v>300</v>
      </c>
      <c r="D30" s="40" t="n">
        <v>48</v>
      </c>
      <c r="E30" s="40" t="n">
        <v>52</v>
      </c>
      <c r="F30" s="40" t="str">
        <f aca="false">IF(OR($D30="",$E30=""),"",IF($D30=$E30,"SÍ","NO"))</f>
        <v>NO</v>
      </c>
      <c r="G30" s="40" t="n">
        <f aca="false">IF(OR($D30="",$E30=""),"",$D30-$E30)</f>
        <v>-4</v>
      </c>
      <c r="H30" s="40" t="s">
        <v>301</v>
      </c>
    </row>
    <row r="31" customFormat="false" ht="15.75" hidden="false" customHeight="true" outlineLevel="0" collapsed="false">
      <c r="A31" s="51" t="n">
        <v>1</v>
      </c>
      <c r="B31" s="34"/>
      <c r="C31" s="34"/>
      <c r="D31" s="33"/>
      <c r="E31" s="33"/>
      <c r="F31" s="42" t="str">
        <f aca="false">IF(OR($D31="",$E31=""),"",IF($D31=$E31,"SÍ","NO"))</f>
        <v/>
      </c>
      <c r="G31" s="42" t="str">
        <f aca="false">IF(OR($D31="",$E31=""),"",$D31-$E31)</f>
        <v/>
      </c>
      <c r="H31" s="34"/>
    </row>
    <row r="32" customFormat="false" ht="15.75" hidden="false" customHeight="true" outlineLevel="0" collapsed="false">
      <c r="A32" s="51" t="n">
        <v>2</v>
      </c>
      <c r="B32" s="34"/>
      <c r="C32" s="34"/>
      <c r="D32" s="33"/>
      <c r="E32" s="33"/>
      <c r="F32" s="42" t="str">
        <f aca="false">IF(OR($D32="",$E32=""),"",IF($D32=$E32,"SÍ","NO"))</f>
        <v/>
      </c>
      <c r="G32" s="42" t="str">
        <f aca="false">IF(OR($D32="",$E32=""),"",$D32-$E32)</f>
        <v/>
      </c>
      <c r="H32" s="34"/>
    </row>
    <row r="33" customFormat="false" ht="15.75" hidden="false" customHeight="true" outlineLevel="0" collapsed="false">
      <c r="A33" s="51" t="n">
        <v>3</v>
      </c>
      <c r="B33" s="34"/>
      <c r="C33" s="34"/>
      <c r="D33" s="33"/>
      <c r="E33" s="33"/>
      <c r="F33" s="42" t="str">
        <f aca="false">IF(OR($D33="",$E33=""),"",IF($D33=$E33,"SÍ","NO"))</f>
        <v/>
      </c>
      <c r="G33" s="42" t="str">
        <f aca="false">IF(OR($D33="",$E33=""),"",$D33-$E33)</f>
        <v/>
      </c>
      <c r="H33" s="34"/>
    </row>
    <row r="34" customFormat="false" ht="15.75" hidden="false" customHeight="true" outlineLevel="0" collapsed="false">
      <c r="A34" s="51" t="n">
        <v>4</v>
      </c>
      <c r="B34" s="34"/>
      <c r="C34" s="34"/>
      <c r="D34" s="33"/>
      <c r="E34" s="33"/>
      <c r="F34" s="42" t="str">
        <f aca="false">IF(OR($D34="",$E34=""),"",IF($D34=$E34,"SÍ","NO"))</f>
        <v/>
      </c>
      <c r="G34" s="42" t="str">
        <f aca="false">IF(OR($D34="",$E34=""),"",$D34-$E34)</f>
        <v/>
      </c>
      <c r="H34" s="34"/>
    </row>
    <row r="35" customFormat="false" ht="15.75" hidden="false" customHeight="true" outlineLevel="0" collapsed="false">
      <c r="A35" s="51" t="n">
        <v>5</v>
      </c>
      <c r="B35" s="34"/>
      <c r="C35" s="34"/>
      <c r="D35" s="33"/>
      <c r="E35" s="33"/>
      <c r="F35" s="42" t="str">
        <f aca="false">IF(OR($D35="",$E35=""),"",IF($D35=$E35,"SÍ","NO"))</f>
        <v/>
      </c>
      <c r="G35" s="42" t="str">
        <f aca="false">IF(OR($D35="",$E35=""),"",$D35-$E35)</f>
        <v/>
      </c>
      <c r="H35" s="34"/>
    </row>
    <row r="36" customFormat="false" ht="15.75" hidden="false" customHeight="true" outlineLevel="0" collapsed="false">
      <c r="A36" s="51" t="n">
        <v>6</v>
      </c>
      <c r="B36" s="34"/>
      <c r="C36" s="34"/>
      <c r="D36" s="33"/>
      <c r="E36" s="33"/>
      <c r="F36" s="42" t="str">
        <f aca="false">IF(OR($D36="",$E36=""),"",IF($D36=$E36,"SÍ","NO"))</f>
        <v/>
      </c>
      <c r="G36" s="42" t="str">
        <f aca="false">IF(OR($D36="",$E36=""),"",$D36-$E36)</f>
        <v/>
      </c>
      <c r="H36" s="34"/>
    </row>
    <row r="37" customFormat="false" ht="15.75" hidden="false" customHeight="true" outlineLevel="0" collapsed="false">
      <c r="A37" s="51" t="n">
        <v>7</v>
      </c>
      <c r="B37" s="34"/>
      <c r="C37" s="34"/>
      <c r="D37" s="33"/>
      <c r="E37" s="33"/>
      <c r="F37" s="42" t="str">
        <f aca="false">IF(OR($D37="",$E37=""),"",IF($D37=$E37,"SÍ","NO"))</f>
        <v/>
      </c>
      <c r="G37" s="42" t="str">
        <f aca="false">IF(OR($D37="",$E37=""),"",$D37-$E37)</f>
        <v/>
      </c>
      <c r="H37" s="34"/>
    </row>
    <row r="38" customFormat="false" ht="15.75" hidden="false" customHeight="true" outlineLevel="0" collapsed="false">
      <c r="A38" s="51" t="n">
        <v>8</v>
      </c>
      <c r="B38" s="34"/>
      <c r="C38" s="34"/>
      <c r="D38" s="33"/>
      <c r="E38" s="33"/>
      <c r="F38" s="42" t="str">
        <f aca="false">IF(OR($D38="",$E38=""),"",IF($D38=$E38,"SÍ","NO"))</f>
        <v/>
      </c>
      <c r="G38" s="42" t="str">
        <f aca="false">IF(OR($D38="",$E38=""),"",$D38-$E38)</f>
        <v/>
      </c>
      <c r="H38" s="34"/>
    </row>
    <row r="39" customFormat="false" ht="15.75" hidden="false" customHeight="true" outlineLevel="0" collapsed="false">
      <c r="A39" s="51" t="n">
        <v>9</v>
      </c>
      <c r="B39" s="34"/>
      <c r="C39" s="34"/>
      <c r="D39" s="33"/>
      <c r="E39" s="33"/>
      <c r="F39" s="42" t="str">
        <f aca="false">IF(OR($D39="",$E39=""),"",IF($D39=$E39,"SÍ","NO"))</f>
        <v/>
      </c>
      <c r="G39" s="42" t="str">
        <f aca="false">IF(OR($D39="",$E39=""),"",$D39-$E39)</f>
        <v/>
      </c>
      <c r="H39" s="34"/>
    </row>
    <row r="40" customFormat="false" ht="15.75" hidden="false" customHeight="true" outlineLevel="0" collapsed="false">
      <c r="A40" s="51" t="n">
        <v>10</v>
      </c>
      <c r="B40" s="34"/>
      <c r="C40" s="34"/>
      <c r="D40" s="33"/>
      <c r="E40" s="33"/>
      <c r="F40" s="42" t="str">
        <f aca="false">IF(OR($D40="",$E40=""),"",IF($D40=$E40,"SÍ","NO"))</f>
        <v/>
      </c>
      <c r="G40" s="42" t="str">
        <f aca="false">IF(OR($D40="",$E40=""),"",$D40-$E40)</f>
        <v/>
      </c>
      <c r="H40" s="34"/>
    </row>
    <row r="41" customFormat="false" ht="15.75" hidden="false" customHeight="true" outlineLevel="0" collapsed="false">
      <c r="A41" s="51" t="n">
        <v>11</v>
      </c>
      <c r="B41" s="34"/>
      <c r="C41" s="34"/>
      <c r="D41" s="33"/>
      <c r="E41" s="33"/>
      <c r="F41" s="42" t="str">
        <f aca="false">IF(OR($D41="",$E41=""),"",IF($D41=$E41,"SÍ","NO"))</f>
        <v/>
      </c>
      <c r="G41" s="42" t="str">
        <f aca="false">IF(OR($D41="",$E41=""),"",$D41-$E41)</f>
        <v/>
      </c>
      <c r="H41" s="34"/>
    </row>
    <row r="42" customFormat="false" ht="15.75" hidden="false" customHeight="true" outlineLevel="0" collapsed="false">
      <c r="A42" s="51" t="n">
        <v>12</v>
      </c>
      <c r="B42" s="34"/>
      <c r="C42" s="34"/>
      <c r="D42" s="33"/>
      <c r="E42" s="33"/>
      <c r="F42" s="42" t="str">
        <f aca="false">IF(OR($D42="",$E42=""),"",IF($D42=$E42,"SÍ","NO"))</f>
        <v/>
      </c>
      <c r="G42" s="42" t="str">
        <f aca="false">IF(OR($D42="",$E42=""),"",$D42-$E42)</f>
        <v/>
      </c>
      <c r="H42" s="34"/>
    </row>
    <row r="43" customFormat="false" ht="15.75" hidden="false" customHeight="true" outlineLevel="0" collapsed="false">
      <c r="A43" s="51" t="n">
        <v>13</v>
      </c>
      <c r="B43" s="34"/>
      <c r="C43" s="34"/>
      <c r="D43" s="33"/>
      <c r="E43" s="33"/>
      <c r="F43" s="42" t="str">
        <f aca="false">IF(OR($D43="",$E43=""),"",IF($D43=$E43,"SÍ","NO"))</f>
        <v/>
      </c>
      <c r="G43" s="42" t="str">
        <f aca="false">IF(OR($D43="",$E43=""),"",$D43-$E43)</f>
        <v/>
      </c>
      <c r="H43" s="34"/>
    </row>
    <row r="44" customFormat="false" ht="15.75" hidden="false" customHeight="true" outlineLevel="0" collapsed="false">
      <c r="A44" s="51" t="n">
        <v>14</v>
      </c>
      <c r="B44" s="34"/>
      <c r="C44" s="34"/>
      <c r="D44" s="33"/>
      <c r="E44" s="33"/>
      <c r="F44" s="42" t="str">
        <f aca="false">IF(OR($D44="",$E44=""),"",IF($D44=$E44,"SÍ","NO"))</f>
        <v/>
      </c>
      <c r="G44" s="42" t="str">
        <f aca="false">IF(OR($D44="",$E44=""),"",$D44-$E44)</f>
        <v/>
      </c>
      <c r="H44" s="34"/>
    </row>
    <row r="45" customFormat="false" ht="15.75" hidden="false" customHeight="true" outlineLevel="0" collapsed="false">
      <c r="A45" s="51" t="n">
        <v>15</v>
      </c>
      <c r="B45" s="34"/>
      <c r="C45" s="34"/>
      <c r="D45" s="33"/>
      <c r="E45" s="33"/>
      <c r="F45" s="42" t="str">
        <f aca="false">IF(OR($D45="",$E45=""),"",IF($D45=$E45,"SÍ","NO"))</f>
        <v/>
      </c>
      <c r="G45" s="42" t="str">
        <f aca="false">IF(OR($D45="",$E45=""),"",$D45-$E45)</f>
        <v/>
      </c>
      <c r="H45" s="34"/>
    </row>
    <row r="46" customFormat="false" ht="15.75" hidden="false" customHeight="true" outlineLevel="0" collapsed="false">
      <c r="A46" s="51" t="n">
        <v>16</v>
      </c>
      <c r="B46" s="34"/>
      <c r="C46" s="34"/>
      <c r="D46" s="33"/>
      <c r="E46" s="33"/>
      <c r="F46" s="42" t="str">
        <f aca="false">IF(OR($D46="",$E46=""),"",IF($D46=$E46,"SÍ","NO"))</f>
        <v/>
      </c>
      <c r="G46" s="42" t="str">
        <f aca="false">IF(OR($D46="",$E46=""),"",$D46-$E46)</f>
        <v/>
      </c>
      <c r="H46" s="34"/>
    </row>
    <row r="47" customFormat="false" ht="15.75" hidden="false" customHeight="true" outlineLevel="0" collapsed="false">
      <c r="A47" s="51" t="n">
        <v>17</v>
      </c>
      <c r="B47" s="34"/>
      <c r="C47" s="34"/>
      <c r="D47" s="33"/>
      <c r="E47" s="33"/>
      <c r="F47" s="42" t="str">
        <f aca="false">IF(OR($D47="",$E47=""),"",IF($D47=$E47,"SÍ","NO"))</f>
        <v/>
      </c>
      <c r="G47" s="42" t="str">
        <f aca="false">IF(OR($D47="",$E47=""),"",$D47-$E47)</f>
        <v/>
      </c>
      <c r="H47" s="34"/>
    </row>
    <row r="48" customFormat="false" ht="15.75" hidden="false" customHeight="true" outlineLevel="0" collapsed="false">
      <c r="A48" s="51" t="n">
        <v>18</v>
      </c>
      <c r="B48" s="34"/>
      <c r="C48" s="34"/>
      <c r="D48" s="33"/>
      <c r="E48" s="33"/>
      <c r="F48" s="42" t="str">
        <f aca="false">IF(OR($D48="",$E48=""),"",IF($D48=$E48,"SÍ","NO"))</f>
        <v/>
      </c>
      <c r="G48" s="42" t="str">
        <f aca="false">IF(OR($D48="",$E48=""),"",$D48-$E48)</f>
        <v/>
      </c>
      <c r="H48" s="34"/>
    </row>
    <row r="49" customFormat="false" ht="15.75" hidden="false" customHeight="true" outlineLevel="0" collapsed="false">
      <c r="A49" s="51" t="n">
        <v>19</v>
      </c>
      <c r="B49" s="34"/>
      <c r="C49" s="34"/>
      <c r="D49" s="33"/>
      <c r="E49" s="33"/>
      <c r="F49" s="42" t="str">
        <f aca="false">IF(OR($D49="",$E49=""),"",IF($D49=$E49,"SÍ","NO"))</f>
        <v/>
      </c>
      <c r="G49" s="42" t="str">
        <f aca="false">IF(OR($D49="",$E49=""),"",$D49-$E49)</f>
        <v/>
      </c>
      <c r="H49" s="34"/>
    </row>
    <row r="50" customFormat="false" ht="15.75" hidden="false" customHeight="true" outlineLevel="0" collapsed="false">
      <c r="A50" s="51" t="n">
        <v>20</v>
      </c>
      <c r="B50" s="34"/>
      <c r="C50" s="34"/>
      <c r="D50" s="33"/>
      <c r="E50" s="33"/>
      <c r="F50" s="42" t="str">
        <f aca="false">IF(OR($D50="",$E50=""),"",IF($D50=$E50,"SÍ","NO"))</f>
        <v/>
      </c>
      <c r="G50" s="42" t="str">
        <f aca="false">IF(OR($D50="",$E50=""),"",$D50-$E50)</f>
        <v/>
      </c>
      <c r="H50" s="34"/>
    </row>
    <row r="51" customFormat="false" ht="15.75" hidden="false" customHeight="true" outlineLevel="0" collapsed="false">
      <c r="A51" s="51" t="n">
        <v>21</v>
      </c>
      <c r="B51" s="34"/>
      <c r="C51" s="34"/>
      <c r="D51" s="33"/>
      <c r="E51" s="33"/>
      <c r="F51" s="42" t="str">
        <f aca="false">IF(OR($D51="",$E51=""),"",IF($D51=$E51,"SÍ","NO"))</f>
        <v/>
      </c>
      <c r="G51" s="42" t="str">
        <f aca="false">IF(OR($D51="",$E51=""),"",$D51-$E51)</f>
        <v/>
      </c>
      <c r="H51" s="34"/>
    </row>
    <row r="52" customFormat="false" ht="15.75" hidden="false" customHeight="true" outlineLevel="0" collapsed="false">
      <c r="A52" s="51" t="n">
        <v>22</v>
      </c>
      <c r="B52" s="34"/>
      <c r="C52" s="34"/>
      <c r="D52" s="33"/>
      <c r="E52" s="33"/>
      <c r="F52" s="42" t="str">
        <f aca="false">IF(OR($D52="",$E52=""),"",IF($D52=$E52,"SÍ","NO"))</f>
        <v/>
      </c>
      <c r="G52" s="42" t="str">
        <f aca="false">IF(OR($D52="",$E52=""),"",$D52-$E52)</f>
        <v/>
      </c>
      <c r="H52" s="34"/>
    </row>
    <row r="53" customFormat="false" ht="15.75" hidden="false" customHeight="true" outlineLevel="0" collapsed="false">
      <c r="A53" s="51" t="n">
        <v>23</v>
      </c>
      <c r="B53" s="34"/>
      <c r="C53" s="34"/>
      <c r="D53" s="33"/>
      <c r="E53" s="33"/>
      <c r="F53" s="42" t="str">
        <f aca="false">IF(OR($D53="",$E53=""),"",IF($D53=$E53,"SÍ","NO"))</f>
        <v/>
      </c>
      <c r="G53" s="42" t="str">
        <f aca="false">IF(OR($D53="",$E53=""),"",$D53-$E53)</f>
        <v/>
      </c>
      <c r="H53" s="34"/>
    </row>
    <row r="54" customFormat="false" ht="15.75" hidden="false" customHeight="true" outlineLevel="0" collapsed="false">
      <c r="A54" s="51" t="n">
        <v>24</v>
      </c>
      <c r="B54" s="34"/>
      <c r="C54" s="34"/>
      <c r="D54" s="33"/>
      <c r="E54" s="33"/>
      <c r="F54" s="42" t="str">
        <f aca="false">IF(OR($D54="",$E54=""),"",IF($D54=$E54,"SÍ","NO"))</f>
        <v/>
      </c>
      <c r="G54" s="42" t="str">
        <f aca="false">IF(OR($D54="",$E54=""),"",$D54-$E54)</f>
        <v/>
      </c>
      <c r="H54" s="34"/>
    </row>
    <row r="55" customFormat="false" ht="15.75" hidden="false" customHeight="true" outlineLevel="0" collapsed="false">
      <c r="A55" s="51" t="n">
        <v>25</v>
      </c>
      <c r="B55" s="34"/>
      <c r="C55" s="34"/>
      <c r="D55" s="33"/>
      <c r="E55" s="33"/>
      <c r="F55" s="42" t="str">
        <f aca="false">IF(OR($D55="",$E55=""),"",IF($D55=$E55,"SÍ","NO"))</f>
        <v/>
      </c>
      <c r="G55" s="42" t="str">
        <f aca="false">IF(OR($D55="",$E55=""),"",$D55-$E55)</f>
        <v/>
      </c>
      <c r="H55" s="34"/>
    </row>
    <row r="56" customFormat="false" ht="15.75" hidden="false" customHeight="true" outlineLevel="0" collapsed="false">
      <c r="A56" s="51" t="n">
        <v>26</v>
      </c>
      <c r="B56" s="34"/>
      <c r="C56" s="34"/>
      <c r="D56" s="33"/>
      <c r="E56" s="33"/>
      <c r="F56" s="42" t="str">
        <f aca="false">IF(OR($D56="",$E56=""),"",IF($D56=$E56,"SÍ","NO"))</f>
        <v/>
      </c>
      <c r="G56" s="42" t="str">
        <f aca="false">IF(OR($D56="",$E56=""),"",$D56-$E56)</f>
        <v/>
      </c>
      <c r="H56" s="34"/>
    </row>
    <row r="57" customFormat="false" ht="15.75" hidden="false" customHeight="true" outlineLevel="0" collapsed="false">
      <c r="A57" s="51" t="n">
        <v>27</v>
      </c>
      <c r="B57" s="34"/>
      <c r="C57" s="34"/>
      <c r="D57" s="33"/>
      <c r="E57" s="33"/>
      <c r="F57" s="42" t="str">
        <f aca="false">IF(OR($D57="",$E57=""),"",IF($D57=$E57,"SÍ","NO"))</f>
        <v/>
      </c>
      <c r="G57" s="42" t="str">
        <f aca="false">IF(OR($D57="",$E57=""),"",$D57-$E57)</f>
        <v/>
      </c>
      <c r="H57" s="34"/>
    </row>
    <row r="58" customFormat="false" ht="15.75" hidden="false" customHeight="true" outlineLevel="0" collapsed="false">
      <c r="A58" s="51" t="n">
        <v>28</v>
      </c>
      <c r="B58" s="34"/>
      <c r="C58" s="34"/>
      <c r="D58" s="33"/>
      <c r="E58" s="33"/>
      <c r="F58" s="42" t="str">
        <f aca="false">IF(OR($D58="",$E58=""),"",IF($D58=$E58,"SÍ","NO"))</f>
        <v/>
      </c>
      <c r="G58" s="42" t="str">
        <f aca="false">IF(OR($D58="",$E58=""),"",$D58-$E58)</f>
        <v/>
      </c>
      <c r="H58" s="34"/>
    </row>
    <row r="59" customFormat="false" ht="15.75" hidden="false" customHeight="true" outlineLevel="0" collapsed="false">
      <c r="A59" s="51" t="n">
        <v>29</v>
      </c>
      <c r="B59" s="34"/>
      <c r="C59" s="34"/>
      <c r="D59" s="33"/>
      <c r="E59" s="33"/>
      <c r="F59" s="42" t="str">
        <f aca="false">IF(OR($D59="",$E59=""),"",IF($D59=$E59,"SÍ","NO"))</f>
        <v/>
      </c>
      <c r="G59" s="42" t="str">
        <f aca="false">IF(OR($D59="",$E59=""),"",$D59-$E59)</f>
        <v/>
      </c>
      <c r="H59" s="34"/>
    </row>
    <row r="60" customFormat="false" ht="15.75" hidden="false" customHeight="true" outlineLevel="0" collapsed="false">
      <c r="A60" s="51" t="n">
        <v>30</v>
      </c>
      <c r="B60" s="34"/>
      <c r="C60" s="34"/>
      <c r="D60" s="33"/>
      <c r="E60" s="33"/>
      <c r="F60" s="42" t="str">
        <f aca="false">IF(OR($D60="",$E60=""),"",IF($D60=$E60,"SÍ","NO"))</f>
        <v/>
      </c>
      <c r="G60" s="42" t="str">
        <f aca="false">IF(OR($D60="",$E60=""),"",$D60-$E60)</f>
        <v/>
      </c>
      <c r="H60" s="34"/>
    </row>
    <row r="61" customFormat="false" ht="15.75" hidden="false" customHeight="true" outlineLevel="0" collapsed="false">
      <c r="A61" s="51" t="n">
        <v>31</v>
      </c>
      <c r="B61" s="34"/>
      <c r="C61" s="34"/>
      <c r="D61" s="33"/>
      <c r="E61" s="33"/>
      <c r="F61" s="42" t="str">
        <f aca="false">IF(OR($D61="",$E61=""),"",IF($D61=$E61,"SÍ","NO"))</f>
        <v/>
      </c>
      <c r="G61" s="42" t="str">
        <f aca="false">IF(OR($D61="",$E61=""),"",$D61-$E61)</f>
        <v/>
      </c>
      <c r="H61" s="34"/>
    </row>
    <row r="62" customFormat="false" ht="15.75" hidden="false" customHeight="true" outlineLevel="0" collapsed="false">
      <c r="A62" s="51" t="n">
        <v>32</v>
      </c>
      <c r="B62" s="34"/>
      <c r="C62" s="34"/>
      <c r="D62" s="33"/>
      <c r="E62" s="33"/>
      <c r="F62" s="42" t="str">
        <f aca="false">IF(OR($D62="",$E62=""),"",IF($D62=$E62,"SÍ","NO"))</f>
        <v/>
      </c>
      <c r="G62" s="42" t="str">
        <f aca="false">IF(OR($D62="",$E62=""),"",$D62-$E62)</f>
        <v/>
      </c>
      <c r="H62" s="34"/>
    </row>
    <row r="63" customFormat="false" ht="15.75" hidden="false" customHeight="true" outlineLevel="0" collapsed="false">
      <c r="A63" s="51" t="n">
        <v>33</v>
      </c>
      <c r="B63" s="34"/>
      <c r="C63" s="34"/>
      <c r="D63" s="33"/>
      <c r="E63" s="33"/>
      <c r="F63" s="42" t="str">
        <f aca="false">IF(OR($D63="",$E63=""),"",IF($D63=$E63,"SÍ","NO"))</f>
        <v/>
      </c>
      <c r="G63" s="42" t="str">
        <f aca="false">IF(OR($D63="",$E63=""),"",$D63-$E63)</f>
        <v/>
      </c>
      <c r="H63" s="34"/>
    </row>
    <row r="64" customFormat="false" ht="15.75" hidden="false" customHeight="true" outlineLevel="0" collapsed="false">
      <c r="A64" s="51" t="n">
        <v>34</v>
      </c>
      <c r="B64" s="34"/>
      <c r="C64" s="34"/>
      <c r="D64" s="33"/>
      <c r="E64" s="33"/>
      <c r="F64" s="42" t="str">
        <f aca="false">IF(OR($D64="",$E64=""),"",IF($D64=$E64,"SÍ","NO"))</f>
        <v/>
      </c>
      <c r="G64" s="42" t="str">
        <f aca="false">IF(OR($D64="",$E64=""),"",$D64-$E64)</f>
        <v/>
      </c>
      <c r="H64" s="34"/>
    </row>
    <row r="65" customFormat="false" ht="15.75" hidden="false" customHeight="true" outlineLevel="0" collapsed="false">
      <c r="A65" s="51" t="n">
        <v>35</v>
      </c>
      <c r="B65" s="34"/>
      <c r="C65" s="34"/>
      <c r="D65" s="33"/>
      <c r="E65" s="33"/>
      <c r="F65" s="42" t="str">
        <f aca="false">IF(OR($D65="",$E65=""),"",IF($D65=$E65,"SÍ","NO"))</f>
        <v/>
      </c>
      <c r="G65" s="42" t="str">
        <f aca="false">IF(OR($D65="",$E65=""),"",$D65-$E65)</f>
        <v/>
      </c>
      <c r="H65" s="34"/>
    </row>
    <row r="66" customFormat="false" ht="15.75" hidden="false" customHeight="true" outlineLevel="0" collapsed="false">
      <c r="A66" s="51" t="n">
        <v>36</v>
      </c>
      <c r="B66" s="34"/>
      <c r="C66" s="34"/>
      <c r="D66" s="33"/>
      <c r="E66" s="33"/>
      <c r="F66" s="42" t="str">
        <f aca="false">IF(OR($D66="",$E66=""),"",IF($D66=$E66,"SÍ","NO"))</f>
        <v/>
      </c>
      <c r="G66" s="42" t="str">
        <f aca="false">IF(OR($D66="",$E66=""),"",$D66-$E66)</f>
        <v/>
      </c>
      <c r="H66" s="34"/>
    </row>
    <row r="67" customFormat="false" ht="15.75" hidden="false" customHeight="true" outlineLevel="0" collapsed="false">
      <c r="A67" s="51" t="n">
        <v>37</v>
      </c>
      <c r="B67" s="34"/>
      <c r="C67" s="34"/>
      <c r="D67" s="33"/>
      <c r="E67" s="33"/>
      <c r="F67" s="42" t="str">
        <f aca="false">IF(OR($D67="",$E67=""),"",IF($D67=$E67,"SÍ","NO"))</f>
        <v/>
      </c>
      <c r="G67" s="42" t="str">
        <f aca="false">IF(OR($D67="",$E67=""),"",$D67-$E67)</f>
        <v/>
      </c>
      <c r="H67" s="34"/>
    </row>
    <row r="68" customFormat="false" ht="15.75" hidden="false" customHeight="true" outlineLevel="0" collapsed="false">
      <c r="A68" s="51" t="n">
        <v>38</v>
      </c>
      <c r="B68" s="34"/>
      <c r="C68" s="34"/>
      <c r="D68" s="33"/>
      <c r="E68" s="33"/>
      <c r="F68" s="42" t="str">
        <f aca="false">IF(OR($D68="",$E68=""),"",IF($D68=$E68,"SÍ","NO"))</f>
        <v/>
      </c>
      <c r="G68" s="42" t="str">
        <f aca="false">IF(OR($D68="",$E68=""),"",$D68-$E68)</f>
        <v/>
      </c>
      <c r="H68" s="34"/>
    </row>
    <row r="69" customFormat="false" ht="15.75" hidden="false" customHeight="true" outlineLevel="0" collapsed="false">
      <c r="A69" s="51" t="n">
        <v>39</v>
      </c>
      <c r="B69" s="34"/>
      <c r="C69" s="34"/>
      <c r="D69" s="33"/>
      <c r="E69" s="33"/>
      <c r="F69" s="42" t="str">
        <f aca="false">IF(OR($D69="",$E69=""),"",IF($D69=$E69,"SÍ","NO"))</f>
        <v/>
      </c>
      <c r="G69" s="42" t="str">
        <f aca="false">IF(OR($D69="",$E69=""),"",$D69-$E69)</f>
        <v/>
      </c>
      <c r="H69" s="34"/>
    </row>
    <row r="70" customFormat="false" ht="15.75" hidden="false" customHeight="true" outlineLevel="0" collapsed="false">
      <c r="A70" s="51" t="n">
        <v>40</v>
      </c>
      <c r="B70" s="34"/>
      <c r="C70" s="34"/>
      <c r="D70" s="33"/>
      <c r="E70" s="33"/>
      <c r="F70" s="42" t="str">
        <f aca="false">IF(OR($D70="",$E70=""),"",IF($D70=$E70,"SÍ","NO"))</f>
        <v/>
      </c>
      <c r="G70" s="42" t="str">
        <f aca="false">IF(OR($D70="",$E70=""),"",$D70-$E70)</f>
        <v/>
      </c>
      <c r="H70" s="34"/>
    </row>
    <row r="71" customFormat="false" ht="15.75" hidden="false" customHeight="true" outlineLevel="0" collapsed="false">
      <c r="A71" s="51" t="n">
        <v>41</v>
      </c>
      <c r="B71" s="34"/>
      <c r="C71" s="34"/>
      <c r="D71" s="33"/>
      <c r="E71" s="33"/>
      <c r="F71" s="42" t="str">
        <f aca="false">IF(OR($D71="",$E71=""),"",IF($D71=$E71,"SÍ","NO"))</f>
        <v/>
      </c>
      <c r="G71" s="42" t="str">
        <f aca="false">IF(OR($D71="",$E71=""),"",$D71-$E71)</f>
        <v/>
      </c>
      <c r="H71" s="34"/>
    </row>
    <row r="72" customFormat="false" ht="15.75" hidden="false" customHeight="true" outlineLevel="0" collapsed="false">
      <c r="A72" s="51" t="n">
        <v>42</v>
      </c>
      <c r="B72" s="34"/>
      <c r="C72" s="34"/>
      <c r="D72" s="33"/>
      <c r="E72" s="33"/>
      <c r="F72" s="42" t="str">
        <f aca="false">IF(OR($D72="",$E72=""),"",IF($D72=$E72,"SÍ","NO"))</f>
        <v/>
      </c>
      <c r="G72" s="42" t="str">
        <f aca="false">IF(OR($D72="",$E72=""),"",$D72-$E72)</f>
        <v/>
      </c>
      <c r="H72" s="34"/>
    </row>
    <row r="73" customFormat="false" ht="15.75" hidden="false" customHeight="true" outlineLevel="0" collapsed="false">
      <c r="A73" s="51" t="n">
        <v>43</v>
      </c>
      <c r="B73" s="34"/>
      <c r="C73" s="34"/>
      <c r="D73" s="33"/>
      <c r="E73" s="33"/>
      <c r="F73" s="42" t="str">
        <f aca="false">IF(OR($D73="",$E73=""),"",IF($D73=$E73,"SÍ","NO"))</f>
        <v/>
      </c>
      <c r="G73" s="42" t="str">
        <f aca="false">IF(OR($D73="",$E73=""),"",$D73-$E73)</f>
        <v/>
      </c>
      <c r="H73" s="34"/>
    </row>
    <row r="74" customFormat="false" ht="15.75" hidden="false" customHeight="true" outlineLevel="0" collapsed="false">
      <c r="A74" s="51" t="n">
        <v>44</v>
      </c>
      <c r="B74" s="34"/>
      <c r="C74" s="34"/>
      <c r="D74" s="33"/>
      <c r="E74" s="33"/>
      <c r="F74" s="42" t="str">
        <f aca="false">IF(OR($D74="",$E74=""),"",IF($D74=$E74,"SÍ","NO"))</f>
        <v/>
      </c>
      <c r="G74" s="42" t="str">
        <f aca="false">IF(OR($D74="",$E74=""),"",$D74-$E74)</f>
        <v/>
      </c>
      <c r="H74" s="34"/>
    </row>
    <row r="75" customFormat="false" ht="15.75" hidden="false" customHeight="true" outlineLevel="0" collapsed="false">
      <c r="A75" s="51" t="n">
        <v>45</v>
      </c>
      <c r="B75" s="34"/>
      <c r="C75" s="34"/>
      <c r="D75" s="33"/>
      <c r="E75" s="33"/>
      <c r="F75" s="42" t="str">
        <f aca="false">IF(OR($D75="",$E75=""),"",IF($D75=$E75,"SÍ","NO"))</f>
        <v/>
      </c>
      <c r="G75" s="42" t="str">
        <f aca="false">IF(OR($D75="",$E75=""),"",$D75-$E75)</f>
        <v/>
      </c>
      <c r="H75" s="34"/>
    </row>
    <row r="76" customFormat="false" ht="15.75" hidden="false" customHeight="true" outlineLevel="0" collapsed="false">
      <c r="A76" s="51" t="n">
        <v>46</v>
      </c>
      <c r="B76" s="34"/>
      <c r="C76" s="34"/>
      <c r="D76" s="33"/>
      <c r="E76" s="33"/>
      <c r="F76" s="42" t="str">
        <f aca="false">IF(OR($D76="",$E76=""),"",IF($D76=$E76,"SÍ","NO"))</f>
        <v/>
      </c>
      <c r="G76" s="42" t="str">
        <f aca="false">IF(OR($D76="",$E76=""),"",$D76-$E76)</f>
        <v/>
      </c>
      <c r="H76" s="34"/>
    </row>
    <row r="77" customFormat="false" ht="15.75" hidden="false" customHeight="true" outlineLevel="0" collapsed="false">
      <c r="A77" s="51" t="n">
        <v>47</v>
      </c>
      <c r="B77" s="34"/>
      <c r="C77" s="34"/>
      <c r="D77" s="33"/>
      <c r="E77" s="33"/>
      <c r="F77" s="42" t="str">
        <f aca="false">IF(OR($D77="",$E77=""),"",IF($D77=$E77,"SÍ","NO"))</f>
        <v/>
      </c>
      <c r="G77" s="42" t="str">
        <f aca="false">IF(OR($D77="",$E77=""),"",$D77-$E77)</f>
        <v/>
      </c>
      <c r="H77" s="34"/>
    </row>
    <row r="78" customFormat="false" ht="15.75" hidden="false" customHeight="true" outlineLevel="0" collapsed="false">
      <c r="A78" s="51" t="n">
        <v>48</v>
      </c>
      <c r="B78" s="34"/>
      <c r="C78" s="34"/>
      <c r="D78" s="33"/>
      <c r="E78" s="33"/>
      <c r="F78" s="42" t="str">
        <f aca="false">IF(OR($D78="",$E78=""),"",IF($D78=$E78,"SÍ","NO"))</f>
        <v/>
      </c>
      <c r="G78" s="42" t="str">
        <f aca="false">IF(OR($D78="",$E78=""),"",$D78-$E78)</f>
        <v/>
      </c>
      <c r="H78" s="34"/>
    </row>
    <row r="79" customFormat="false" ht="15.75" hidden="false" customHeight="true" outlineLevel="0" collapsed="false">
      <c r="A79" s="51" t="n">
        <v>49</v>
      </c>
      <c r="B79" s="34"/>
      <c r="C79" s="34"/>
      <c r="D79" s="33"/>
      <c r="E79" s="33"/>
      <c r="F79" s="42" t="str">
        <f aca="false">IF(OR($D79="",$E79=""),"",IF($D79=$E79,"SÍ","NO"))</f>
        <v/>
      </c>
      <c r="G79" s="42" t="str">
        <f aca="false">IF(OR($D79="",$E79=""),"",$D79-$E79)</f>
        <v/>
      </c>
      <c r="H79" s="34"/>
    </row>
    <row r="80" customFormat="false" ht="15.75" hidden="false" customHeight="true" outlineLevel="0" collapsed="false">
      <c r="A80" s="51" t="n">
        <v>50</v>
      </c>
      <c r="B80" s="34"/>
      <c r="C80" s="34"/>
      <c r="D80" s="33"/>
      <c r="E80" s="33"/>
      <c r="F80" s="42" t="str">
        <f aca="false">IF(OR($D80="",$E80=""),"",IF($D80=$E80,"SÍ","NO"))</f>
        <v/>
      </c>
      <c r="G80" s="42" t="str">
        <f aca="false">IF(OR($D80="",$E80=""),"",$D80-$E80)</f>
        <v/>
      </c>
      <c r="H80" s="34"/>
    </row>
    <row r="81" customFormat="false" ht="15.75" hidden="false" customHeight="true" outlineLevel="0" collapsed="false">
      <c r="A81" s="51" t="n">
        <v>51</v>
      </c>
      <c r="B81" s="34"/>
      <c r="C81" s="34"/>
      <c r="D81" s="33"/>
      <c r="E81" s="33"/>
      <c r="F81" s="42" t="str">
        <f aca="false">IF(OR($D81="",$E81=""),"",IF($D81=$E81,"SÍ","NO"))</f>
        <v/>
      </c>
      <c r="G81" s="42" t="str">
        <f aca="false">IF(OR($D81="",$E81=""),"",$D81-$E81)</f>
        <v/>
      </c>
      <c r="H81" s="34"/>
    </row>
    <row r="82" customFormat="false" ht="15.75" hidden="false" customHeight="true" outlineLevel="0" collapsed="false">
      <c r="A82" s="51" t="n">
        <v>52</v>
      </c>
      <c r="B82" s="34"/>
      <c r="C82" s="34"/>
      <c r="D82" s="33"/>
      <c r="E82" s="33"/>
      <c r="F82" s="42" t="str">
        <f aca="false">IF(OR($D82="",$E82=""),"",IF($D82=$E82,"SÍ","NO"))</f>
        <v/>
      </c>
      <c r="G82" s="42" t="str">
        <f aca="false">IF(OR($D82="",$E82=""),"",$D82-$E82)</f>
        <v/>
      </c>
      <c r="H82" s="34"/>
    </row>
    <row r="83" customFormat="false" ht="15.75" hidden="false" customHeight="true" outlineLevel="0" collapsed="false">
      <c r="A83" s="51" t="n">
        <v>53</v>
      </c>
      <c r="B83" s="34"/>
      <c r="C83" s="34"/>
      <c r="D83" s="33"/>
      <c r="E83" s="33"/>
      <c r="F83" s="42" t="str">
        <f aca="false">IF(OR($D83="",$E83=""),"",IF($D83=$E83,"SÍ","NO"))</f>
        <v/>
      </c>
      <c r="G83" s="42" t="str">
        <f aca="false">IF(OR($D83="",$E83=""),"",$D83-$E83)</f>
        <v/>
      </c>
      <c r="H83" s="34"/>
    </row>
    <row r="84" customFormat="false" ht="15.75" hidden="false" customHeight="true" outlineLevel="0" collapsed="false">
      <c r="A84" s="51" t="n">
        <v>54</v>
      </c>
      <c r="B84" s="34"/>
      <c r="C84" s="34"/>
      <c r="D84" s="33"/>
      <c r="E84" s="33"/>
      <c r="F84" s="42" t="str">
        <f aca="false">IF(OR($D84="",$E84=""),"",IF($D84=$E84,"SÍ","NO"))</f>
        <v/>
      </c>
      <c r="G84" s="42" t="str">
        <f aca="false">IF(OR($D84="",$E84=""),"",$D84-$E84)</f>
        <v/>
      </c>
      <c r="H84" s="34"/>
    </row>
    <row r="85" customFormat="false" ht="15.75" hidden="false" customHeight="true" outlineLevel="0" collapsed="false">
      <c r="A85" s="51" t="n">
        <v>55</v>
      </c>
      <c r="B85" s="34"/>
      <c r="C85" s="34"/>
      <c r="D85" s="33"/>
      <c r="E85" s="33"/>
      <c r="F85" s="42" t="str">
        <f aca="false">IF(OR($D85="",$E85=""),"",IF($D85=$E85,"SÍ","NO"))</f>
        <v/>
      </c>
      <c r="G85" s="42" t="str">
        <f aca="false">IF(OR($D85="",$E85=""),"",$D85-$E85)</f>
        <v/>
      </c>
      <c r="H85" s="34"/>
    </row>
    <row r="86" customFormat="false" ht="15.75" hidden="false" customHeight="true" outlineLevel="0" collapsed="false">
      <c r="A86" s="51" t="n">
        <v>56</v>
      </c>
      <c r="B86" s="34"/>
      <c r="C86" s="34"/>
      <c r="D86" s="33"/>
      <c r="E86" s="33"/>
      <c r="F86" s="42" t="str">
        <f aca="false">IF(OR($D86="",$E86=""),"",IF($D86=$E86,"SÍ","NO"))</f>
        <v/>
      </c>
      <c r="G86" s="42" t="str">
        <f aca="false">IF(OR($D86="",$E86=""),"",$D86-$E86)</f>
        <v/>
      </c>
      <c r="H86" s="34"/>
    </row>
    <row r="87" customFormat="false" ht="15.75" hidden="false" customHeight="true" outlineLevel="0" collapsed="false">
      <c r="A87" s="51" t="n">
        <v>57</v>
      </c>
      <c r="B87" s="34"/>
      <c r="C87" s="34"/>
      <c r="D87" s="33"/>
      <c r="E87" s="33"/>
      <c r="F87" s="42" t="str">
        <f aca="false">IF(OR($D87="",$E87=""),"",IF($D87=$E87,"SÍ","NO"))</f>
        <v/>
      </c>
      <c r="G87" s="42" t="str">
        <f aca="false">IF(OR($D87="",$E87=""),"",$D87-$E87)</f>
        <v/>
      </c>
      <c r="H87" s="34"/>
    </row>
    <row r="88" customFormat="false" ht="15.75" hidden="false" customHeight="true" outlineLevel="0" collapsed="false">
      <c r="A88" s="51" t="n">
        <v>58</v>
      </c>
      <c r="B88" s="34"/>
      <c r="C88" s="34"/>
      <c r="D88" s="33"/>
      <c r="E88" s="33"/>
      <c r="F88" s="42" t="str">
        <f aca="false">IF(OR($D88="",$E88=""),"",IF($D88=$E88,"SÍ","NO"))</f>
        <v/>
      </c>
      <c r="G88" s="42" t="str">
        <f aca="false">IF(OR($D88="",$E88=""),"",$D88-$E88)</f>
        <v/>
      </c>
      <c r="H88" s="34"/>
    </row>
    <row r="89" customFormat="false" ht="15.75" hidden="false" customHeight="true" outlineLevel="0" collapsed="false">
      <c r="A89" s="51" t="n">
        <v>59</v>
      </c>
      <c r="B89" s="34"/>
      <c r="C89" s="34"/>
      <c r="D89" s="33"/>
      <c r="E89" s="33"/>
      <c r="F89" s="42" t="str">
        <f aca="false">IF(OR($D89="",$E89=""),"",IF($D89=$E89,"SÍ","NO"))</f>
        <v/>
      </c>
      <c r="G89" s="42" t="str">
        <f aca="false">IF(OR($D89="",$E89=""),"",$D89-$E89)</f>
        <v/>
      </c>
      <c r="H89" s="34"/>
    </row>
    <row r="90" customFormat="false" ht="15.75" hidden="false" customHeight="true" outlineLevel="0" collapsed="false">
      <c r="A90" s="51" t="n">
        <v>60</v>
      </c>
      <c r="B90" s="34"/>
      <c r="C90" s="34"/>
      <c r="D90" s="33"/>
      <c r="E90" s="33"/>
      <c r="F90" s="42" t="str">
        <f aca="false">IF(OR($D90="",$E90=""),"",IF($D90=$E90,"SÍ","NO"))</f>
        <v/>
      </c>
      <c r="G90" s="42" t="str">
        <f aca="false">IF(OR($D90="",$E90=""),"",$D90-$E90)</f>
        <v/>
      </c>
      <c r="H90" s="34"/>
    </row>
    <row r="91" customFormat="false" ht="15.75" hidden="false" customHeight="true" outlineLevel="0" collapsed="false">
      <c r="A91" s="51" t="n">
        <v>61</v>
      </c>
      <c r="B91" s="34"/>
      <c r="C91" s="34"/>
      <c r="D91" s="33"/>
      <c r="E91" s="33"/>
      <c r="F91" s="42" t="str">
        <f aca="false">IF(OR($D91="",$E91=""),"",IF($D91=$E91,"SÍ","NO"))</f>
        <v/>
      </c>
      <c r="G91" s="42" t="str">
        <f aca="false">IF(OR($D91="",$E91=""),"",$D91-$E91)</f>
        <v/>
      </c>
      <c r="H91" s="34"/>
    </row>
    <row r="92" customFormat="false" ht="15.75" hidden="false" customHeight="true" outlineLevel="0" collapsed="false">
      <c r="A92" s="51" t="n">
        <v>62</v>
      </c>
      <c r="B92" s="34"/>
      <c r="C92" s="34"/>
      <c r="D92" s="33"/>
      <c r="E92" s="33"/>
      <c r="F92" s="42" t="str">
        <f aca="false">IF(OR($D92="",$E92=""),"",IF($D92=$E92,"SÍ","NO"))</f>
        <v/>
      </c>
      <c r="G92" s="42" t="str">
        <f aca="false">IF(OR($D92="",$E92=""),"",$D92-$E92)</f>
        <v/>
      </c>
      <c r="H92" s="34"/>
    </row>
    <row r="93" customFormat="false" ht="15.75" hidden="false" customHeight="true" outlineLevel="0" collapsed="false">
      <c r="A93" s="51" t="n">
        <v>63</v>
      </c>
      <c r="B93" s="34"/>
      <c r="C93" s="34"/>
      <c r="D93" s="33"/>
      <c r="E93" s="33"/>
      <c r="F93" s="42" t="str">
        <f aca="false">IF(OR($D93="",$E93=""),"",IF($D93=$E93,"SÍ","NO"))</f>
        <v/>
      </c>
      <c r="G93" s="42" t="str">
        <f aca="false">IF(OR($D93="",$E93=""),"",$D93-$E93)</f>
        <v/>
      </c>
      <c r="H93" s="34"/>
    </row>
    <row r="94" customFormat="false" ht="15.75" hidden="false" customHeight="true" outlineLevel="0" collapsed="false">
      <c r="A94" s="51" t="n">
        <v>64</v>
      </c>
      <c r="B94" s="34"/>
      <c r="C94" s="34"/>
      <c r="D94" s="33"/>
      <c r="E94" s="33"/>
      <c r="F94" s="42" t="str">
        <f aca="false">IF(OR($D94="",$E94=""),"",IF($D94=$E94,"SÍ","NO"))</f>
        <v/>
      </c>
      <c r="G94" s="42" t="str">
        <f aca="false">IF(OR($D94="",$E94=""),"",$D94-$E94)</f>
        <v/>
      </c>
      <c r="H94" s="34"/>
    </row>
    <row r="95" customFormat="false" ht="15.75" hidden="false" customHeight="true" outlineLevel="0" collapsed="false">
      <c r="A95" s="51" t="n">
        <v>65</v>
      </c>
      <c r="B95" s="34"/>
      <c r="C95" s="34"/>
      <c r="D95" s="33"/>
      <c r="E95" s="33"/>
      <c r="F95" s="42" t="str">
        <f aca="false">IF(OR($D95="",$E95=""),"",IF($D95=$E95,"SÍ","NO"))</f>
        <v/>
      </c>
      <c r="G95" s="42" t="str">
        <f aca="false">IF(OR($D95="",$E95=""),"",$D95-$E95)</f>
        <v/>
      </c>
      <c r="H95" s="34"/>
    </row>
    <row r="96" customFormat="false" ht="15.75" hidden="false" customHeight="true" outlineLevel="0" collapsed="false">
      <c r="A96" s="51" t="n">
        <v>66</v>
      </c>
      <c r="B96" s="34"/>
      <c r="C96" s="34"/>
      <c r="D96" s="33"/>
      <c r="E96" s="33"/>
      <c r="F96" s="42" t="str">
        <f aca="false">IF(OR($D96="",$E96=""),"",IF($D96=$E96,"SÍ","NO"))</f>
        <v/>
      </c>
      <c r="G96" s="42" t="str">
        <f aca="false">IF(OR($D96="",$E96=""),"",$D96-$E96)</f>
        <v/>
      </c>
      <c r="H96" s="34"/>
    </row>
    <row r="97" customFormat="false" ht="15.75" hidden="false" customHeight="true" outlineLevel="0" collapsed="false">
      <c r="A97" s="51" t="n">
        <v>67</v>
      </c>
      <c r="B97" s="34"/>
      <c r="C97" s="34"/>
      <c r="D97" s="33"/>
      <c r="E97" s="33"/>
      <c r="F97" s="42" t="str">
        <f aca="false">IF(OR($D97="",$E97=""),"",IF($D97=$E97,"SÍ","NO"))</f>
        <v/>
      </c>
      <c r="G97" s="42" t="str">
        <f aca="false">IF(OR($D97="",$E97=""),"",$D97-$E97)</f>
        <v/>
      </c>
      <c r="H97" s="34"/>
    </row>
    <row r="98" customFormat="false" ht="15.75" hidden="false" customHeight="true" outlineLevel="0" collapsed="false">
      <c r="A98" s="51" t="n">
        <v>68</v>
      </c>
      <c r="B98" s="34"/>
      <c r="C98" s="34"/>
      <c r="D98" s="33"/>
      <c r="E98" s="33"/>
      <c r="F98" s="42" t="str">
        <f aca="false">IF(OR($D98="",$E98=""),"",IF($D98=$E98,"SÍ","NO"))</f>
        <v/>
      </c>
      <c r="G98" s="42" t="str">
        <f aca="false">IF(OR($D98="",$E98=""),"",$D98-$E98)</f>
        <v/>
      </c>
      <c r="H98" s="34"/>
    </row>
    <row r="99" customFormat="false" ht="15.75" hidden="false" customHeight="true" outlineLevel="0" collapsed="false">
      <c r="A99" s="51" t="n">
        <v>69</v>
      </c>
      <c r="B99" s="34"/>
      <c r="C99" s="34"/>
      <c r="D99" s="33"/>
      <c r="E99" s="33"/>
      <c r="F99" s="42" t="str">
        <f aca="false">IF(OR($D99="",$E99=""),"",IF($D99=$E99,"SÍ","NO"))</f>
        <v/>
      </c>
      <c r="G99" s="42" t="str">
        <f aca="false">IF(OR($D99="",$E99=""),"",$D99-$E99)</f>
        <v/>
      </c>
      <c r="H99" s="34"/>
    </row>
    <row r="100" customFormat="false" ht="15.75" hidden="false" customHeight="true" outlineLevel="0" collapsed="false">
      <c r="A100" s="51" t="n">
        <v>70</v>
      </c>
      <c r="B100" s="34"/>
      <c r="C100" s="34"/>
      <c r="D100" s="33"/>
      <c r="E100" s="33"/>
      <c r="F100" s="42" t="str">
        <f aca="false">IF(OR($D100="",$E100=""),"",IF($D100=$E100,"SÍ","NO"))</f>
        <v/>
      </c>
      <c r="G100" s="42" t="str">
        <f aca="false">IF(OR($D100="",$E100=""),"",$D100-$E100)</f>
        <v/>
      </c>
      <c r="H100" s="34"/>
    </row>
    <row r="101" customFormat="false" ht="15.75" hidden="false" customHeight="true" outlineLevel="0" collapsed="false">
      <c r="A101" s="51" t="n">
        <v>71</v>
      </c>
      <c r="B101" s="34"/>
      <c r="C101" s="34"/>
      <c r="D101" s="33"/>
      <c r="E101" s="33"/>
      <c r="F101" s="42" t="str">
        <f aca="false">IF(OR($D101="",$E101=""),"",IF($D101=$E101,"SÍ","NO"))</f>
        <v/>
      </c>
      <c r="G101" s="42" t="str">
        <f aca="false">IF(OR($D101="",$E101=""),"",$D101-$E101)</f>
        <v/>
      </c>
      <c r="H101" s="34"/>
    </row>
    <row r="102" customFormat="false" ht="15.75" hidden="false" customHeight="true" outlineLevel="0" collapsed="false">
      <c r="A102" s="51" t="n">
        <v>72</v>
      </c>
      <c r="B102" s="34"/>
      <c r="C102" s="34"/>
      <c r="D102" s="33"/>
      <c r="E102" s="33"/>
      <c r="F102" s="42" t="str">
        <f aca="false">IF(OR($D102="",$E102=""),"",IF($D102=$E102,"SÍ","NO"))</f>
        <v/>
      </c>
      <c r="G102" s="42" t="str">
        <f aca="false">IF(OR($D102="",$E102=""),"",$D102-$E102)</f>
        <v/>
      </c>
      <c r="H102" s="34"/>
    </row>
    <row r="103" customFormat="false" ht="15.75" hidden="false" customHeight="true" outlineLevel="0" collapsed="false">
      <c r="A103" s="51" t="n">
        <v>73</v>
      </c>
      <c r="B103" s="34"/>
      <c r="C103" s="34"/>
      <c r="D103" s="33"/>
      <c r="E103" s="33"/>
      <c r="F103" s="42" t="str">
        <f aca="false">IF(OR($D103="",$E103=""),"",IF($D103=$E103,"SÍ","NO"))</f>
        <v/>
      </c>
      <c r="G103" s="42" t="str">
        <f aca="false">IF(OR($D103="",$E103=""),"",$D103-$E103)</f>
        <v/>
      </c>
      <c r="H103" s="34"/>
    </row>
    <row r="104" customFormat="false" ht="15.75" hidden="false" customHeight="true" outlineLevel="0" collapsed="false">
      <c r="A104" s="51" t="n">
        <v>74</v>
      </c>
      <c r="B104" s="34"/>
      <c r="C104" s="34"/>
      <c r="D104" s="33"/>
      <c r="E104" s="33"/>
      <c r="F104" s="42" t="str">
        <f aca="false">IF(OR($D104="",$E104=""),"",IF($D104=$E104,"SÍ","NO"))</f>
        <v/>
      </c>
      <c r="G104" s="42" t="str">
        <f aca="false">IF(OR($D104="",$E104=""),"",$D104-$E104)</f>
        <v/>
      </c>
      <c r="H104" s="34"/>
    </row>
    <row r="105" customFormat="false" ht="15.75" hidden="false" customHeight="true" outlineLevel="0" collapsed="false">
      <c r="A105" s="51" t="n">
        <v>75</v>
      </c>
      <c r="B105" s="34"/>
      <c r="C105" s="34"/>
      <c r="D105" s="33"/>
      <c r="E105" s="33"/>
      <c r="F105" s="42" t="str">
        <f aca="false">IF(OR($D105="",$E105=""),"",IF($D105=$E105,"SÍ","NO"))</f>
        <v/>
      </c>
      <c r="G105" s="42" t="str">
        <f aca="false">IF(OR($D105="",$E105=""),"",$D105-$E105)</f>
        <v/>
      </c>
      <c r="H105" s="34"/>
    </row>
    <row r="106" customFormat="false" ht="15.75" hidden="false" customHeight="true" outlineLevel="0" collapsed="false">
      <c r="A106" s="51" t="n">
        <v>76</v>
      </c>
      <c r="B106" s="34"/>
      <c r="C106" s="34"/>
      <c r="D106" s="33"/>
      <c r="E106" s="33"/>
      <c r="F106" s="42" t="str">
        <f aca="false">IF(OR($D106="",$E106=""),"",IF($D106=$E106,"SÍ","NO"))</f>
        <v/>
      </c>
      <c r="G106" s="42" t="str">
        <f aca="false">IF(OR($D106="",$E106=""),"",$D106-$E106)</f>
        <v/>
      </c>
      <c r="H106" s="34"/>
    </row>
    <row r="107" customFormat="false" ht="15.75" hidden="false" customHeight="true" outlineLevel="0" collapsed="false">
      <c r="A107" s="51" t="n">
        <v>77</v>
      </c>
      <c r="B107" s="34"/>
      <c r="C107" s="34"/>
      <c r="D107" s="33"/>
      <c r="E107" s="33"/>
      <c r="F107" s="42" t="str">
        <f aca="false">IF(OR($D107="",$E107=""),"",IF($D107=$E107,"SÍ","NO"))</f>
        <v/>
      </c>
      <c r="G107" s="42" t="str">
        <f aca="false">IF(OR($D107="",$E107=""),"",$D107-$E107)</f>
        <v/>
      </c>
      <c r="H107" s="34"/>
    </row>
    <row r="108" customFormat="false" ht="15.75" hidden="false" customHeight="true" outlineLevel="0" collapsed="false">
      <c r="A108" s="51" t="n">
        <v>78</v>
      </c>
      <c r="B108" s="34"/>
      <c r="C108" s="34"/>
      <c r="D108" s="33"/>
      <c r="E108" s="33"/>
      <c r="F108" s="42" t="str">
        <f aca="false">IF(OR($D108="",$E108=""),"",IF($D108=$E108,"SÍ","NO"))</f>
        <v/>
      </c>
      <c r="G108" s="42" t="str">
        <f aca="false">IF(OR($D108="",$E108=""),"",$D108-$E108)</f>
        <v/>
      </c>
      <c r="H108" s="34"/>
    </row>
    <row r="109" customFormat="false" ht="15.75" hidden="false" customHeight="true" outlineLevel="0" collapsed="false">
      <c r="A109" s="51" t="n">
        <v>79</v>
      </c>
      <c r="B109" s="34"/>
      <c r="C109" s="34"/>
      <c r="D109" s="33"/>
      <c r="E109" s="33"/>
      <c r="F109" s="42" t="str">
        <f aca="false">IF(OR($D109="",$E109=""),"",IF($D109=$E109,"SÍ","NO"))</f>
        <v/>
      </c>
      <c r="G109" s="42" t="str">
        <f aca="false">IF(OR($D109="",$E109=""),"",$D109-$E109)</f>
        <v/>
      </c>
      <c r="H109" s="34"/>
    </row>
    <row r="110" customFormat="false" ht="15.75" hidden="false" customHeight="true" outlineLevel="0" collapsed="false">
      <c r="A110" s="51" t="n">
        <v>80</v>
      </c>
      <c r="B110" s="34"/>
      <c r="C110" s="34"/>
      <c r="D110" s="33"/>
      <c r="E110" s="33"/>
      <c r="F110" s="42" t="str">
        <f aca="false">IF(OR($D110="",$E110=""),"",IF($D110=$E110,"SÍ","NO"))</f>
        <v/>
      </c>
      <c r="G110" s="42" t="str">
        <f aca="false">IF(OR($D110="",$E110=""),"",$D110-$E110)</f>
        <v/>
      </c>
      <c r="H110" s="34"/>
    </row>
    <row r="111" customFormat="false" ht="15.75" hidden="false" customHeight="true" outlineLevel="0" collapsed="false">
      <c r="A111" s="51" t="n">
        <v>81</v>
      </c>
      <c r="B111" s="34"/>
      <c r="C111" s="34"/>
      <c r="D111" s="33"/>
      <c r="E111" s="33"/>
      <c r="F111" s="42" t="str">
        <f aca="false">IF(OR($D111="",$E111=""),"",IF($D111=$E111,"SÍ","NO"))</f>
        <v/>
      </c>
      <c r="G111" s="42" t="str">
        <f aca="false">IF(OR($D111="",$E111=""),"",$D111-$E111)</f>
        <v/>
      </c>
      <c r="H111" s="34"/>
    </row>
    <row r="112" customFormat="false" ht="15.75" hidden="false" customHeight="true" outlineLevel="0" collapsed="false">
      <c r="A112" s="51" t="n">
        <v>82</v>
      </c>
      <c r="B112" s="34"/>
      <c r="C112" s="34"/>
      <c r="D112" s="33"/>
      <c r="E112" s="33"/>
      <c r="F112" s="42" t="str">
        <f aca="false">IF(OR($D112="",$E112=""),"",IF($D112=$E112,"SÍ","NO"))</f>
        <v/>
      </c>
      <c r="G112" s="42" t="str">
        <f aca="false">IF(OR($D112="",$E112=""),"",$D112-$E112)</f>
        <v/>
      </c>
      <c r="H112" s="34"/>
    </row>
    <row r="113" customFormat="false" ht="15.75" hidden="false" customHeight="true" outlineLevel="0" collapsed="false">
      <c r="A113" s="51" t="n">
        <v>83</v>
      </c>
      <c r="B113" s="34"/>
      <c r="C113" s="34"/>
      <c r="D113" s="33"/>
      <c r="E113" s="33"/>
      <c r="F113" s="42" t="str">
        <f aca="false">IF(OR($D113="",$E113=""),"",IF($D113=$E113,"SÍ","NO"))</f>
        <v/>
      </c>
      <c r="G113" s="42" t="str">
        <f aca="false">IF(OR($D113="",$E113=""),"",$D113-$E113)</f>
        <v/>
      </c>
      <c r="H113" s="34"/>
    </row>
    <row r="114" customFormat="false" ht="15.75" hidden="false" customHeight="true" outlineLevel="0" collapsed="false">
      <c r="A114" s="51" t="n">
        <v>84</v>
      </c>
      <c r="B114" s="34"/>
      <c r="C114" s="34"/>
      <c r="D114" s="33"/>
      <c r="E114" s="33"/>
      <c r="F114" s="42" t="str">
        <f aca="false">IF(OR($D114="",$E114=""),"",IF($D114=$E114,"SÍ","NO"))</f>
        <v/>
      </c>
      <c r="G114" s="42" t="str">
        <f aca="false">IF(OR($D114="",$E114=""),"",$D114-$E114)</f>
        <v/>
      </c>
      <c r="H114" s="34"/>
    </row>
    <row r="115" customFormat="false" ht="15.75" hidden="false" customHeight="true" outlineLevel="0" collapsed="false">
      <c r="A115" s="51" t="n">
        <v>85</v>
      </c>
      <c r="B115" s="34"/>
      <c r="C115" s="34"/>
      <c r="D115" s="33"/>
      <c r="E115" s="33"/>
      <c r="F115" s="42" t="str">
        <f aca="false">IF(OR($D115="",$E115=""),"",IF($D115=$E115,"SÍ","NO"))</f>
        <v/>
      </c>
      <c r="G115" s="42" t="str">
        <f aca="false">IF(OR($D115="",$E115=""),"",$D115-$E115)</f>
        <v/>
      </c>
      <c r="H115" s="34"/>
    </row>
    <row r="116" customFormat="false" ht="15.75" hidden="false" customHeight="true" outlineLevel="0" collapsed="false">
      <c r="A116" s="51" t="n">
        <v>86</v>
      </c>
      <c r="B116" s="34"/>
      <c r="C116" s="34"/>
      <c r="D116" s="33"/>
      <c r="E116" s="33"/>
      <c r="F116" s="42" t="str">
        <f aca="false">IF(OR($D116="",$E116=""),"",IF($D116=$E116,"SÍ","NO"))</f>
        <v/>
      </c>
      <c r="G116" s="42" t="str">
        <f aca="false">IF(OR($D116="",$E116=""),"",$D116-$E116)</f>
        <v/>
      </c>
      <c r="H116" s="34"/>
    </row>
    <row r="117" customFormat="false" ht="15.75" hidden="false" customHeight="true" outlineLevel="0" collapsed="false">
      <c r="A117" s="51" t="n">
        <v>87</v>
      </c>
      <c r="B117" s="34"/>
      <c r="C117" s="34"/>
      <c r="D117" s="33"/>
      <c r="E117" s="33"/>
      <c r="F117" s="42" t="str">
        <f aca="false">IF(OR($D117="",$E117=""),"",IF($D117=$E117,"SÍ","NO"))</f>
        <v/>
      </c>
      <c r="G117" s="42" t="str">
        <f aca="false">IF(OR($D117="",$E117=""),"",$D117-$E117)</f>
        <v/>
      </c>
      <c r="H117" s="34"/>
    </row>
    <row r="118" customFormat="false" ht="15.75" hidden="false" customHeight="true" outlineLevel="0" collapsed="false">
      <c r="A118" s="51" t="n">
        <v>88</v>
      </c>
      <c r="B118" s="34"/>
      <c r="C118" s="34"/>
      <c r="D118" s="33"/>
      <c r="E118" s="33"/>
      <c r="F118" s="42" t="str">
        <f aca="false">IF(OR($D118="",$E118=""),"",IF($D118=$E118,"SÍ","NO"))</f>
        <v/>
      </c>
      <c r="G118" s="42" t="str">
        <f aca="false">IF(OR($D118="",$E118=""),"",$D118-$E118)</f>
        <v/>
      </c>
      <c r="H118" s="34"/>
    </row>
    <row r="119" customFormat="false" ht="15.75" hidden="false" customHeight="true" outlineLevel="0" collapsed="false">
      <c r="A119" s="51" t="n">
        <v>89</v>
      </c>
      <c r="B119" s="34"/>
      <c r="C119" s="34"/>
      <c r="D119" s="33"/>
      <c r="E119" s="33"/>
      <c r="F119" s="42" t="str">
        <f aca="false">IF(OR($D119="",$E119=""),"",IF($D119=$E119,"SÍ","NO"))</f>
        <v/>
      </c>
      <c r="G119" s="42" t="str">
        <f aca="false">IF(OR($D119="",$E119=""),"",$D119-$E119)</f>
        <v/>
      </c>
      <c r="H119" s="34"/>
    </row>
    <row r="120" customFormat="false" ht="15.75" hidden="false" customHeight="true" outlineLevel="0" collapsed="false">
      <c r="A120" s="51" t="n">
        <v>90</v>
      </c>
      <c r="B120" s="34"/>
      <c r="C120" s="34"/>
      <c r="D120" s="33"/>
      <c r="E120" s="33"/>
      <c r="F120" s="42" t="str">
        <f aca="false">IF(OR($D120="",$E120=""),"",IF($D120=$E120,"SÍ","NO"))</f>
        <v/>
      </c>
      <c r="G120" s="42" t="str">
        <f aca="false">IF(OR($D120="",$E120=""),"",$D120-$E120)</f>
        <v/>
      </c>
      <c r="H120" s="34"/>
    </row>
    <row r="121" customFormat="false" ht="15.75" hidden="false" customHeight="true" outlineLevel="0" collapsed="false">
      <c r="A121" s="51" t="n">
        <v>91</v>
      </c>
      <c r="B121" s="34"/>
      <c r="C121" s="34"/>
      <c r="D121" s="33"/>
      <c r="E121" s="33"/>
      <c r="F121" s="42" t="str">
        <f aca="false">IF(OR($D121="",$E121=""),"",IF($D121=$E121,"SÍ","NO"))</f>
        <v/>
      </c>
      <c r="G121" s="42" t="str">
        <f aca="false">IF(OR($D121="",$E121=""),"",$D121-$E121)</f>
        <v/>
      </c>
      <c r="H121" s="34"/>
    </row>
    <row r="122" customFormat="false" ht="15.75" hidden="false" customHeight="true" outlineLevel="0" collapsed="false">
      <c r="A122" s="51" t="n">
        <v>92</v>
      </c>
      <c r="B122" s="34"/>
      <c r="C122" s="34"/>
      <c r="D122" s="33"/>
      <c r="E122" s="33"/>
      <c r="F122" s="42" t="str">
        <f aca="false">IF(OR($D122="",$E122=""),"",IF($D122=$E122,"SÍ","NO"))</f>
        <v/>
      </c>
      <c r="G122" s="42" t="str">
        <f aca="false">IF(OR($D122="",$E122=""),"",$D122-$E122)</f>
        <v/>
      </c>
      <c r="H122" s="34"/>
    </row>
    <row r="123" customFormat="false" ht="15.75" hidden="false" customHeight="true" outlineLevel="0" collapsed="false">
      <c r="A123" s="51" t="n">
        <v>93</v>
      </c>
      <c r="B123" s="34"/>
      <c r="C123" s="34"/>
      <c r="D123" s="33"/>
      <c r="E123" s="33"/>
      <c r="F123" s="42" t="str">
        <f aca="false">IF(OR($D123="",$E123=""),"",IF($D123=$E123,"SÍ","NO"))</f>
        <v/>
      </c>
      <c r="G123" s="42" t="str">
        <f aca="false">IF(OR($D123="",$E123=""),"",$D123-$E123)</f>
        <v/>
      </c>
      <c r="H123" s="34"/>
    </row>
    <row r="124" customFormat="false" ht="15.75" hidden="false" customHeight="true" outlineLevel="0" collapsed="false">
      <c r="A124" s="51" t="n">
        <v>94</v>
      </c>
      <c r="B124" s="34"/>
      <c r="C124" s="34"/>
      <c r="D124" s="33"/>
      <c r="E124" s="33"/>
      <c r="F124" s="42" t="str">
        <f aca="false">IF(OR($D124="",$E124=""),"",IF($D124=$E124,"SÍ","NO"))</f>
        <v/>
      </c>
      <c r="G124" s="42" t="str">
        <f aca="false">IF(OR($D124="",$E124=""),"",$D124-$E124)</f>
        <v/>
      </c>
      <c r="H124" s="34"/>
    </row>
    <row r="125" customFormat="false" ht="15.75" hidden="false" customHeight="true" outlineLevel="0" collapsed="false">
      <c r="A125" s="51" t="n">
        <v>95</v>
      </c>
      <c r="B125" s="34"/>
      <c r="C125" s="34"/>
      <c r="D125" s="33"/>
      <c r="E125" s="33"/>
      <c r="F125" s="42" t="str">
        <f aca="false">IF(OR($D125="",$E125=""),"",IF($D125=$E125,"SÍ","NO"))</f>
        <v/>
      </c>
      <c r="G125" s="42" t="str">
        <f aca="false">IF(OR($D125="",$E125=""),"",$D125-$E125)</f>
        <v/>
      </c>
      <c r="H125" s="34"/>
    </row>
    <row r="126" customFormat="false" ht="15.75" hidden="false" customHeight="true" outlineLevel="0" collapsed="false">
      <c r="A126" s="51" t="n">
        <v>96</v>
      </c>
      <c r="B126" s="34"/>
      <c r="C126" s="34"/>
      <c r="D126" s="33"/>
      <c r="E126" s="33"/>
      <c r="F126" s="42" t="str">
        <f aca="false">IF(OR($D126="",$E126=""),"",IF($D126=$E126,"SÍ","NO"))</f>
        <v/>
      </c>
      <c r="G126" s="42" t="str">
        <f aca="false">IF(OR($D126="",$E126=""),"",$D126-$E126)</f>
        <v/>
      </c>
      <c r="H126" s="34"/>
    </row>
    <row r="127" customFormat="false" ht="15.75" hidden="false" customHeight="true" outlineLevel="0" collapsed="false">
      <c r="A127" s="51" t="n">
        <v>97</v>
      </c>
      <c r="B127" s="34"/>
      <c r="C127" s="34"/>
      <c r="D127" s="33"/>
      <c r="E127" s="33"/>
      <c r="F127" s="42" t="str">
        <f aca="false">IF(OR($D127="",$E127=""),"",IF($D127=$E127,"SÍ","NO"))</f>
        <v/>
      </c>
      <c r="G127" s="42" t="str">
        <f aca="false">IF(OR($D127="",$E127=""),"",$D127-$E127)</f>
        <v/>
      </c>
      <c r="H127" s="34"/>
    </row>
    <row r="128" customFormat="false" ht="15.75" hidden="false" customHeight="true" outlineLevel="0" collapsed="false">
      <c r="A128" s="51" t="n">
        <v>98</v>
      </c>
      <c r="B128" s="34"/>
      <c r="C128" s="34"/>
      <c r="D128" s="33"/>
      <c r="E128" s="33"/>
      <c r="F128" s="42" t="str">
        <f aca="false">IF(OR($D128="",$E128=""),"",IF($D128=$E128,"SÍ","NO"))</f>
        <v/>
      </c>
      <c r="G128" s="42" t="str">
        <f aca="false">IF(OR($D128="",$E128=""),"",$D128-$E128)</f>
        <v/>
      </c>
      <c r="H128" s="34"/>
    </row>
    <row r="129" customFormat="false" ht="15.75" hidden="false" customHeight="true" outlineLevel="0" collapsed="false">
      <c r="A129" s="51" t="n">
        <v>99</v>
      </c>
      <c r="B129" s="34"/>
      <c r="C129" s="34"/>
      <c r="D129" s="33"/>
      <c r="E129" s="33"/>
      <c r="F129" s="42" t="str">
        <f aca="false">IF(OR($D129="",$E129=""),"",IF($D129=$E129,"SÍ","NO"))</f>
        <v/>
      </c>
      <c r="G129" s="42" t="str">
        <f aca="false">IF(OR($D129="",$E129=""),"",$D129-$E129)</f>
        <v/>
      </c>
      <c r="H129" s="34"/>
    </row>
    <row r="130" customFormat="false" ht="15.75" hidden="false" customHeight="true" outlineLevel="0" collapsed="false">
      <c r="A130" s="51" t="n">
        <v>100</v>
      </c>
      <c r="B130" s="34"/>
      <c r="C130" s="34"/>
      <c r="D130" s="33"/>
      <c r="E130" s="33"/>
      <c r="F130" s="42" t="str">
        <f aca="false">IF(OR($D130="",$E130=""),"",IF($D130=$E130,"SÍ","NO"))</f>
        <v/>
      </c>
      <c r="G130" s="42" t="str">
        <f aca="false">IF(OR($D130="",$E130=""),"",$D130-$E130)</f>
        <v/>
      </c>
      <c r="H130" s="34"/>
    </row>
  </sheetData>
  <mergeCells count="24">
    <mergeCell ref="A1:H1"/>
    <mergeCell ref="A2:H2"/>
    <mergeCell ref="A4:H4"/>
    <mergeCell ref="B5:H5"/>
    <mergeCell ref="B6:H6"/>
    <mergeCell ref="B7:H7"/>
    <mergeCell ref="B8:H8"/>
    <mergeCell ref="A9:H9"/>
    <mergeCell ref="B10:H10"/>
    <mergeCell ref="B11:H11"/>
    <mergeCell ref="B12:H12"/>
    <mergeCell ref="B13:H13"/>
    <mergeCell ref="B14:H14"/>
    <mergeCell ref="A15:H15"/>
    <mergeCell ref="B16:H16"/>
    <mergeCell ref="B17:H17"/>
    <mergeCell ref="B18:H18"/>
    <mergeCell ref="B19:H19"/>
    <mergeCell ref="B20:H20"/>
    <mergeCell ref="A21:H21"/>
    <mergeCell ref="B22:H22"/>
    <mergeCell ref="B23:H23"/>
    <mergeCell ref="B24:H24"/>
    <mergeCell ref="B25:H25"/>
  </mergeCells>
  <conditionalFormatting sqref="F27">
    <cfRule type="cellIs" priority="2" operator="lessThan" aboveAverage="0" equalAverage="0" bottom="0" percent="0" rank="0" text="" dxfId="6">
      <formula>0.95</formula>
    </cfRule>
  </conditionalFormatting>
  <conditionalFormatting sqref="F31:F130">
    <cfRule type="cellIs" priority="3" operator="equal" aboveAverage="0" equalAverage="0" bottom="0" percent="0" rank="0" text="" dxfId="0">
      <formula>"NO"</formula>
    </cfRule>
  </conditionalFormatting>
  <dataValidations count="5">
    <dataValidation allowBlank="true" errorStyle="stop" operator="between" prompt="Código de la posición tal como está rotulada (ej. A-12-03-B)." promptTitle="Ubicación" showDropDown="false" showErrorMessage="false" showInputMessage="true" sqref="B31:B130" type="none">
      <formula1>0</formula1>
      <formula2>0</formula2>
    </dataValidation>
    <dataValidation allowBlank="true" errorStyle="stop" operator="between" prompt="Referencia encontrada físicamente. Si no es la que dice el sistema, anótalo en Observación." promptTitle="SKU" showDropDown="false" showErrorMessage="false" showInputMessage="true" sqref="C31:C130" type="none">
      <formula1>0</formula1>
      <formula2>0</formula2>
    </dataValidation>
    <dataValidation allowBlank="true" error="Escribe un número igual o mayor que cero." errorStyle="stop" errorTitle="Solo números" operator="greaterThanOrEqual" prompt="Lo que hay físicamente. Si la ubicación está vacía escribe 0." promptTitle="Cantidad contada" showDropDown="false" showErrorMessage="true" showInputMessage="true" sqref="D31:D130" type="decimal">
      <formula1>0</formula1>
      <formula2>0</formula2>
    </dataValidation>
    <dataValidation allowBlank="true" error="Escribe un número igual o mayor que cero." errorStyle="stop" errorTitle="Solo números" operator="greaterThanOrEqual" prompt="SE LLENA AL FINAL DEL DÍA, nunca antes. Si se llena antes, el conteo deja de ser ciego." promptTitle="Cantidad del sistema" showDropDown="false" showErrorMessage="true" showInputMessage="true" sqref="E31:E130" type="decimal">
      <formula1>0</formula1>
      <formula2>0</formula2>
    </dataValidation>
    <dataValidation allowBlank="true" errorStyle="stop" operator="between" prompt="SKU distinto al esperado, producto sin rotular, lote vencido, ubicación mal marcada." promptTitle="Observación" showDropDown="false" showErrorMessage="false" showInputMessage="true" sqref="H31:H130" type="non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6E00"/>
    <pageSetUpPr fitToPage="true"/>
  </sheetPr>
  <dimension ref="A1:J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0" topLeftCell="A3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30"/>
  </cols>
  <sheetData>
    <row r="1" customFormat="false" ht="25.5" hidden="false" customHeight="true" outlineLevel="0" collapsed="false">
      <c r="A1" s="19" t="s">
        <v>302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15.75" hidden="false" customHeight="true" outlineLevel="0" collapsed="false">
      <c r="A2" s="20" t="s">
        <v>303</v>
      </c>
      <c r="B2" s="20"/>
      <c r="C2" s="20"/>
      <c r="D2" s="20"/>
      <c r="E2" s="20"/>
      <c r="F2" s="20"/>
      <c r="G2" s="20"/>
      <c r="H2" s="20"/>
      <c r="I2" s="20"/>
      <c r="J2" s="20"/>
    </row>
    <row r="4" customFormat="false" ht="18.75" hidden="false" customHeight="true" outlineLevel="0" collapsed="false">
      <c r="A4" s="4" t="s">
        <v>161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29.25" hidden="false" customHeight="true" outlineLevel="0" collapsed="false">
      <c r="A5" s="35" t="s">
        <v>162</v>
      </c>
      <c r="B5" s="36" t="s">
        <v>304</v>
      </c>
      <c r="C5" s="36"/>
      <c r="D5" s="36"/>
      <c r="E5" s="36"/>
      <c r="F5" s="36"/>
      <c r="G5" s="36"/>
      <c r="H5" s="36"/>
      <c r="I5" s="36"/>
      <c r="J5" s="36"/>
    </row>
    <row r="6" customFormat="false" ht="16.5" hidden="false" customHeight="true" outlineLevel="0" collapsed="false">
      <c r="A6" s="35" t="s">
        <v>164</v>
      </c>
      <c r="B6" s="36" t="s">
        <v>305</v>
      </c>
      <c r="C6" s="36"/>
      <c r="D6" s="36"/>
      <c r="E6" s="36"/>
      <c r="F6" s="36"/>
      <c r="G6" s="36"/>
      <c r="H6" s="36"/>
      <c r="I6" s="36"/>
      <c r="J6" s="36"/>
    </row>
    <row r="7" customFormat="false" ht="16.5" hidden="false" customHeight="true" outlineLevel="0" collapsed="false">
      <c r="A7" s="35" t="s">
        <v>166</v>
      </c>
      <c r="B7" s="36" t="s">
        <v>306</v>
      </c>
      <c r="C7" s="36"/>
      <c r="D7" s="36"/>
      <c r="E7" s="36"/>
      <c r="F7" s="36"/>
      <c r="G7" s="36"/>
      <c r="H7" s="36"/>
      <c r="I7" s="36"/>
      <c r="J7" s="36"/>
    </row>
    <row r="8" customFormat="false" ht="16.5" hidden="false" customHeight="true" outlineLevel="0" collapsed="false">
      <c r="A8" s="35" t="s">
        <v>168</v>
      </c>
      <c r="B8" s="36" t="s">
        <v>307</v>
      </c>
      <c r="C8" s="36"/>
      <c r="D8" s="36"/>
      <c r="E8" s="36"/>
      <c r="F8" s="36"/>
      <c r="G8" s="36"/>
      <c r="H8" s="36"/>
      <c r="I8" s="36"/>
      <c r="J8" s="36"/>
    </row>
    <row r="9" customFormat="false" ht="18.75" hidden="false" customHeight="true" outlineLevel="0" collapsed="false">
      <c r="A9" s="7" t="s">
        <v>170</v>
      </c>
      <c r="B9" s="7"/>
      <c r="C9" s="7"/>
      <c r="D9" s="7"/>
      <c r="E9" s="7"/>
      <c r="F9" s="7"/>
      <c r="G9" s="7"/>
      <c r="H9" s="7"/>
      <c r="I9" s="7"/>
      <c r="J9" s="7"/>
    </row>
    <row r="10" customFormat="false" ht="16.5" hidden="false" customHeight="true" outlineLevel="0" collapsed="false">
      <c r="A10" s="37" t="s">
        <v>171</v>
      </c>
      <c r="B10" s="36" t="s">
        <v>308</v>
      </c>
      <c r="C10" s="36"/>
      <c r="D10" s="36"/>
      <c r="E10" s="36"/>
      <c r="F10" s="36"/>
      <c r="G10" s="36"/>
      <c r="H10" s="36"/>
      <c r="I10" s="36"/>
      <c r="J10" s="36"/>
    </row>
    <row r="11" customFormat="false" ht="16.5" hidden="false" customHeight="true" outlineLevel="0" collapsed="false">
      <c r="A11" s="37" t="s">
        <v>173</v>
      </c>
      <c r="B11" s="36" t="s">
        <v>309</v>
      </c>
      <c r="C11" s="36"/>
      <c r="D11" s="36"/>
      <c r="E11" s="36"/>
      <c r="F11" s="36"/>
      <c r="G11" s="36"/>
      <c r="H11" s="36"/>
      <c r="I11" s="36"/>
      <c r="J11" s="36"/>
    </row>
    <row r="12" customFormat="false" ht="29.25" hidden="false" customHeight="true" outlineLevel="0" collapsed="false">
      <c r="A12" s="37" t="s">
        <v>175</v>
      </c>
      <c r="B12" s="36" t="s">
        <v>310</v>
      </c>
      <c r="C12" s="36"/>
      <c r="D12" s="36"/>
      <c r="E12" s="36"/>
      <c r="F12" s="36"/>
      <c r="G12" s="36"/>
      <c r="H12" s="36"/>
      <c r="I12" s="36"/>
      <c r="J12" s="36"/>
    </row>
    <row r="13" customFormat="false" ht="16.5" hidden="false" customHeight="true" outlineLevel="0" collapsed="false">
      <c r="A13" s="37" t="s">
        <v>177</v>
      </c>
      <c r="B13" s="36" t="s">
        <v>311</v>
      </c>
      <c r="C13" s="36"/>
      <c r="D13" s="36"/>
      <c r="E13" s="36"/>
      <c r="F13" s="36"/>
      <c r="G13" s="36"/>
      <c r="H13" s="36"/>
      <c r="I13" s="36"/>
      <c r="J13" s="36"/>
    </row>
    <row r="14" customFormat="false" ht="29.25" hidden="false" customHeight="true" outlineLevel="0" collapsed="false">
      <c r="A14" s="37" t="s">
        <v>179</v>
      </c>
      <c r="B14" s="36" t="s">
        <v>312</v>
      </c>
      <c r="C14" s="36"/>
      <c r="D14" s="36"/>
      <c r="E14" s="36"/>
      <c r="F14" s="36"/>
      <c r="G14" s="36"/>
      <c r="H14" s="36"/>
      <c r="I14" s="36"/>
      <c r="J14" s="36"/>
    </row>
    <row r="15" customFormat="false" ht="18.75" hidden="false" customHeight="true" outlineLevel="0" collapsed="false">
      <c r="A15" s="7" t="s">
        <v>183</v>
      </c>
      <c r="B15" s="7"/>
      <c r="C15" s="7"/>
      <c r="D15" s="7"/>
      <c r="E15" s="7"/>
      <c r="F15" s="7"/>
      <c r="G15" s="7"/>
      <c r="H15" s="7"/>
      <c r="I15" s="7"/>
      <c r="J15" s="7"/>
    </row>
    <row r="16" customFormat="false" ht="16.5" hidden="false" customHeight="true" outlineLevel="0" collapsed="false">
      <c r="A16" s="37" t="s">
        <v>184</v>
      </c>
      <c r="B16" s="36" t="s">
        <v>313</v>
      </c>
      <c r="C16" s="36"/>
      <c r="D16" s="36"/>
      <c r="E16" s="36"/>
      <c r="F16" s="36"/>
      <c r="G16" s="36"/>
      <c r="H16" s="36"/>
      <c r="I16" s="36"/>
      <c r="J16" s="36"/>
    </row>
    <row r="17" customFormat="false" ht="16.5" hidden="false" customHeight="true" outlineLevel="0" collapsed="false">
      <c r="A17" s="37" t="s">
        <v>184</v>
      </c>
      <c r="B17" s="36" t="s">
        <v>314</v>
      </c>
      <c r="C17" s="36"/>
      <c r="D17" s="36"/>
      <c r="E17" s="36"/>
      <c r="F17" s="36"/>
      <c r="G17" s="36"/>
      <c r="H17" s="36"/>
      <c r="I17" s="36"/>
      <c r="J17" s="36"/>
    </row>
    <row r="18" customFormat="false" ht="16.5" hidden="false" customHeight="true" outlineLevel="0" collapsed="false">
      <c r="A18" s="37" t="s">
        <v>184</v>
      </c>
      <c r="B18" s="36" t="s">
        <v>315</v>
      </c>
      <c r="C18" s="36"/>
      <c r="D18" s="36"/>
      <c r="E18" s="36"/>
      <c r="F18" s="36"/>
      <c r="G18" s="36"/>
      <c r="H18" s="36"/>
      <c r="I18" s="36"/>
      <c r="J18" s="36"/>
    </row>
    <row r="19" customFormat="false" ht="16.5" hidden="false" customHeight="true" outlineLevel="0" collapsed="false">
      <c r="A19" s="37" t="s">
        <v>184</v>
      </c>
      <c r="B19" s="36" t="s">
        <v>316</v>
      </c>
      <c r="C19" s="36"/>
      <c r="D19" s="36"/>
      <c r="E19" s="36"/>
      <c r="F19" s="36"/>
      <c r="G19" s="36"/>
      <c r="H19" s="36"/>
      <c r="I19" s="36"/>
      <c r="J19" s="36"/>
    </row>
    <row r="20" customFormat="false" ht="16.5" hidden="false" customHeight="true" outlineLevel="0" collapsed="false">
      <c r="A20" s="37" t="s">
        <v>184</v>
      </c>
      <c r="B20" s="36" t="s">
        <v>317</v>
      </c>
      <c r="C20" s="36"/>
      <c r="D20" s="36"/>
      <c r="E20" s="36"/>
      <c r="F20" s="36"/>
      <c r="G20" s="36"/>
      <c r="H20" s="36"/>
      <c r="I20" s="36"/>
      <c r="J20" s="36"/>
    </row>
    <row r="21" customFormat="false" ht="16.5" hidden="false" customHeight="true" outlineLevel="0" collapsed="false">
      <c r="A21" s="37" t="s">
        <v>184</v>
      </c>
      <c r="B21" s="36" t="s">
        <v>318</v>
      </c>
      <c r="C21" s="36"/>
      <c r="D21" s="36"/>
      <c r="E21" s="36"/>
      <c r="F21" s="36"/>
      <c r="G21" s="36"/>
      <c r="H21" s="36"/>
      <c r="I21" s="36"/>
      <c r="J21" s="36"/>
    </row>
    <row r="22" customFormat="false" ht="18.75" hidden="false" customHeight="true" outlineLevel="0" collapsed="false">
      <c r="A22" s="38" t="s">
        <v>190</v>
      </c>
      <c r="B22" s="38"/>
      <c r="C22" s="38"/>
      <c r="D22" s="38"/>
      <c r="E22" s="38"/>
      <c r="F22" s="38"/>
      <c r="G22" s="38"/>
      <c r="H22" s="38"/>
      <c r="I22" s="38"/>
      <c r="J22" s="38"/>
    </row>
    <row r="23" customFormat="false" ht="16.5" hidden="false" customHeight="true" outlineLevel="0" collapsed="false">
      <c r="A23" s="39" t="s">
        <v>191</v>
      </c>
      <c r="B23" s="36" t="s">
        <v>319</v>
      </c>
      <c r="C23" s="36"/>
      <c r="D23" s="36"/>
      <c r="E23" s="36"/>
      <c r="F23" s="36"/>
      <c r="G23" s="36"/>
      <c r="H23" s="36"/>
      <c r="I23" s="36"/>
      <c r="J23" s="36"/>
    </row>
    <row r="24" customFormat="false" ht="16.5" hidden="false" customHeight="true" outlineLevel="0" collapsed="false">
      <c r="A24" s="39" t="s">
        <v>191</v>
      </c>
      <c r="B24" s="36" t="s">
        <v>320</v>
      </c>
      <c r="C24" s="36"/>
      <c r="D24" s="36"/>
      <c r="E24" s="36"/>
      <c r="F24" s="36"/>
      <c r="G24" s="36"/>
      <c r="H24" s="36"/>
      <c r="I24" s="36"/>
      <c r="J24" s="36"/>
    </row>
    <row r="25" customFormat="false" ht="16.5" hidden="false" customHeight="true" outlineLevel="0" collapsed="false">
      <c r="A25" s="39" t="s">
        <v>191</v>
      </c>
      <c r="B25" s="36" t="s">
        <v>321</v>
      </c>
      <c r="C25" s="36"/>
      <c r="D25" s="36"/>
      <c r="E25" s="36"/>
      <c r="F25" s="36"/>
      <c r="G25" s="36"/>
      <c r="H25" s="36"/>
      <c r="I25" s="36"/>
      <c r="J25" s="36"/>
    </row>
    <row r="26" customFormat="false" ht="16.5" hidden="false" customHeight="true" outlineLevel="0" collapsed="false">
      <c r="A26" s="39" t="s">
        <v>191</v>
      </c>
      <c r="B26" s="36" t="s">
        <v>322</v>
      </c>
      <c r="C26" s="36"/>
      <c r="D26" s="36"/>
      <c r="E26" s="36"/>
      <c r="F26" s="36"/>
      <c r="G26" s="36"/>
      <c r="H26" s="36"/>
      <c r="I26" s="36"/>
      <c r="J26" s="36"/>
    </row>
    <row r="27" customFormat="false" ht="16.5" hidden="false" customHeight="true" outlineLevel="0" collapsed="false">
      <c r="A27" s="39" t="s">
        <v>191</v>
      </c>
      <c r="B27" s="36" t="s">
        <v>323</v>
      </c>
      <c r="C27" s="36"/>
      <c r="D27" s="36"/>
      <c r="E27" s="36"/>
      <c r="F27" s="36"/>
      <c r="G27" s="36"/>
      <c r="H27" s="36"/>
      <c r="I27" s="36"/>
      <c r="J27" s="36"/>
    </row>
    <row r="29" customFormat="false" ht="18.75" hidden="false" customHeight="true" outlineLevel="0" collapsed="false">
      <c r="A29" s="4" t="s">
        <v>324</v>
      </c>
      <c r="B29" s="4"/>
      <c r="C29" s="4"/>
      <c r="D29" s="4"/>
      <c r="E29" s="4"/>
      <c r="F29" s="4"/>
      <c r="G29" s="4"/>
      <c r="H29" s="4"/>
      <c r="I29" s="4"/>
      <c r="J29" s="4"/>
    </row>
    <row r="30" customFormat="false" ht="33.75" hidden="false" customHeight="true" outlineLevel="0" collapsed="false">
      <c r="A30" s="8" t="s">
        <v>325</v>
      </c>
      <c r="B30" s="8" t="s">
        <v>114</v>
      </c>
      <c r="C30" s="8" t="s">
        <v>209</v>
      </c>
      <c r="D30" s="8" t="s">
        <v>326</v>
      </c>
      <c r="E30" s="8" t="s">
        <v>201</v>
      </c>
      <c r="F30" s="8" t="s">
        <v>327</v>
      </c>
      <c r="G30" s="8" t="s">
        <v>328</v>
      </c>
      <c r="H30" s="8" t="s">
        <v>329</v>
      </c>
      <c r="I30" s="8" t="s">
        <v>330</v>
      </c>
      <c r="J30" s="8" t="s">
        <v>116</v>
      </c>
    </row>
    <row r="31" customFormat="false" ht="24" hidden="false" customHeight="true" outlineLevel="0" collapsed="false">
      <c r="A31" s="40" t="s">
        <v>331</v>
      </c>
      <c r="B31" s="40" t="s">
        <v>332</v>
      </c>
      <c r="C31" s="40" t="s">
        <v>333</v>
      </c>
      <c r="D31" s="40" t="n">
        <v>120</v>
      </c>
      <c r="E31" s="40" t="n">
        <v>6</v>
      </c>
      <c r="F31" s="40" t="n">
        <v>14</v>
      </c>
      <c r="G31" s="40" t="n">
        <f aca="false">IF($D31="","",$D31-$E31-$F31)</f>
        <v>100</v>
      </c>
      <c r="H31" s="41" t="n">
        <f aca="false">IF(OR($D31="",$D31=0),"",$E31/$D31)</f>
        <v>0.05</v>
      </c>
      <c r="I31" s="41" t="n">
        <f aca="false">IF(OR($D31="",$D31=0),"",($E31+$F31)/$D31)</f>
        <v>0.166666666666667</v>
      </c>
      <c r="J31" s="40" t="s">
        <v>334</v>
      </c>
    </row>
    <row r="32" customFormat="false" ht="18" hidden="false" customHeight="true" outlineLevel="0" collapsed="false">
      <c r="A32" s="33"/>
      <c r="B32" s="33"/>
      <c r="C32" s="34"/>
      <c r="D32" s="33"/>
      <c r="E32" s="33"/>
      <c r="F32" s="33"/>
      <c r="G32" s="42" t="str">
        <f aca="false">IF($D32="","",$D32-$E32-$F32)</f>
        <v/>
      </c>
      <c r="H32" s="43" t="str">
        <f aca="false">IF(OR($D32="",$D32=0),"",$E32/$D32)</f>
        <v/>
      </c>
      <c r="I32" s="43" t="str">
        <f aca="false">IF(OR($D32="",$D32=0),"",($E32+$F32)/$D32)</f>
        <v/>
      </c>
      <c r="J32" s="34"/>
    </row>
    <row r="33" customFormat="false" ht="18" hidden="false" customHeight="true" outlineLevel="0" collapsed="false">
      <c r="A33" s="33"/>
      <c r="B33" s="33"/>
      <c r="C33" s="34"/>
      <c r="D33" s="33"/>
      <c r="E33" s="33"/>
      <c r="F33" s="33"/>
      <c r="G33" s="42" t="str">
        <f aca="false">IF($D33="","",$D33-$E33-$F33)</f>
        <v/>
      </c>
      <c r="H33" s="43" t="str">
        <f aca="false">IF(OR($D33="",$D33=0),"",$E33/$D33)</f>
        <v/>
      </c>
      <c r="I33" s="43" t="str">
        <f aca="false">IF(OR($D33="",$D33=0),"",($E33+$F33)/$D33)</f>
        <v/>
      </c>
      <c r="J33" s="34"/>
    </row>
    <row r="34" customFormat="false" ht="18" hidden="false" customHeight="true" outlineLevel="0" collapsed="false">
      <c r="A34" s="33"/>
      <c r="B34" s="33"/>
      <c r="C34" s="34"/>
      <c r="D34" s="33"/>
      <c r="E34" s="33"/>
      <c r="F34" s="33"/>
      <c r="G34" s="42" t="str">
        <f aca="false">IF($D34="","",$D34-$E34-$F34)</f>
        <v/>
      </c>
      <c r="H34" s="43" t="str">
        <f aca="false">IF(OR($D34="",$D34=0),"",$E34/$D34)</f>
        <v/>
      </c>
      <c r="I34" s="43" t="str">
        <f aca="false">IF(OR($D34="",$D34=0),"",($E34+$F34)/$D34)</f>
        <v/>
      </c>
      <c r="J34" s="34"/>
    </row>
    <row r="35" customFormat="false" ht="18" hidden="false" customHeight="true" outlineLevel="0" collapsed="false">
      <c r="A35" s="33"/>
      <c r="B35" s="33"/>
      <c r="C35" s="34"/>
      <c r="D35" s="33"/>
      <c r="E35" s="33"/>
      <c r="F35" s="33"/>
      <c r="G35" s="42" t="str">
        <f aca="false">IF($D35="","",$D35-$E35-$F35)</f>
        <v/>
      </c>
      <c r="H35" s="43" t="str">
        <f aca="false">IF(OR($D35="",$D35=0),"",$E35/$D35)</f>
        <v/>
      </c>
      <c r="I35" s="43" t="str">
        <f aca="false">IF(OR($D35="",$D35=0),"",($E35+$F35)/$D35)</f>
        <v/>
      </c>
      <c r="J35" s="34"/>
    </row>
    <row r="36" customFormat="false" ht="18" hidden="false" customHeight="true" outlineLevel="0" collapsed="false">
      <c r="A36" s="33"/>
      <c r="B36" s="33"/>
      <c r="C36" s="34"/>
      <c r="D36" s="33"/>
      <c r="E36" s="33"/>
      <c r="F36" s="33"/>
      <c r="G36" s="42" t="str">
        <f aca="false">IF($D36="","",$D36-$E36-$F36)</f>
        <v/>
      </c>
      <c r="H36" s="43" t="str">
        <f aca="false">IF(OR($D36="",$D36=0),"",$E36/$D36)</f>
        <v/>
      </c>
      <c r="I36" s="43" t="str">
        <f aca="false">IF(OR($D36="",$D36=0),"",($E36+$F36)/$D36)</f>
        <v/>
      </c>
      <c r="J36" s="34"/>
    </row>
    <row r="37" customFormat="false" ht="18" hidden="false" customHeight="true" outlineLevel="0" collapsed="false">
      <c r="A37" s="33"/>
      <c r="B37" s="33"/>
      <c r="C37" s="34"/>
      <c r="D37" s="33"/>
      <c r="E37" s="33"/>
      <c r="F37" s="33"/>
      <c r="G37" s="42" t="str">
        <f aca="false">IF($D37="","",$D37-$E37-$F37)</f>
        <v/>
      </c>
      <c r="H37" s="43" t="str">
        <f aca="false">IF(OR($D37="",$D37=0),"",$E37/$D37)</f>
        <v/>
      </c>
      <c r="I37" s="43" t="str">
        <f aca="false">IF(OR($D37="",$D37=0),"",($E37+$F37)/$D37)</f>
        <v/>
      </c>
      <c r="J37" s="34"/>
    </row>
    <row r="38" customFormat="false" ht="18" hidden="false" customHeight="true" outlineLevel="0" collapsed="false">
      <c r="A38" s="33"/>
      <c r="B38" s="33"/>
      <c r="C38" s="34"/>
      <c r="D38" s="33"/>
      <c r="E38" s="33"/>
      <c r="F38" s="33"/>
      <c r="G38" s="42" t="str">
        <f aca="false">IF($D38="","",$D38-$E38-$F38)</f>
        <v/>
      </c>
      <c r="H38" s="43" t="str">
        <f aca="false">IF(OR($D38="",$D38=0),"",$E38/$D38)</f>
        <v/>
      </c>
      <c r="I38" s="43" t="str">
        <f aca="false">IF(OR($D38="",$D38=0),"",($E38+$F38)/$D38)</f>
        <v/>
      </c>
      <c r="J38" s="34"/>
    </row>
    <row r="39" customFormat="false" ht="18" hidden="false" customHeight="true" outlineLevel="0" collapsed="false">
      <c r="A39" s="33"/>
      <c r="B39" s="33"/>
      <c r="C39" s="34"/>
      <c r="D39" s="33"/>
      <c r="E39" s="33"/>
      <c r="F39" s="33"/>
      <c r="G39" s="42" t="str">
        <f aca="false">IF($D39="","",$D39-$E39-$F39)</f>
        <v/>
      </c>
      <c r="H39" s="43" t="str">
        <f aca="false">IF(OR($D39="",$D39=0),"",$E39/$D39)</f>
        <v/>
      </c>
      <c r="I39" s="43" t="str">
        <f aca="false">IF(OR($D39="",$D39=0),"",($E39+$F39)/$D39)</f>
        <v/>
      </c>
      <c r="J39" s="34"/>
    </row>
    <row r="40" customFormat="false" ht="18" hidden="false" customHeight="true" outlineLevel="0" collapsed="false">
      <c r="A40" s="33"/>
      <c r="B40" s="33"/>
      <c r="C40" s="34"/>
      <c r="D40" s="33"/>
      <c r="E40" s="33"/>
      <c r="F40" s="33"/>
      <c r="G40" s="42" t="str">
        <f aca="false">IF($D40="","",$D40-$E40-$F40)</f>
        <v/>
      </c>
      <c r="H40" s="43" t="str">
        <f aca="false">IF(OR($D40="",$D40=0),"",$E40/$D40)</f>
        <v/>
      </c>
      <c r="I40" s="43" t="str">
        <f aca="false">IF(OR($D40="",$D40=0),"",($E40+$F40)/$D40)</f>
        <v/>
      </c>
      <c r="J40" s="34"/>
    </row>
    <row r="41" customFormat="false" ht="18" hidden="false" customHeight="true" outlineLevel="0" collapsed="false">
      <c r="A41" s="33"/>
      <c r="B41" s="33"/>
      <c r="C41" s="34"/>
      <c r="D41" s="33"/>
      <c r="E41" s="33"/>
      <c r="F41" s="33"/>
      <c r="G41" s="42" t="str">
        <f aca="false">IF($D41="","",$D41-$E41-$F41)</f>
        <v/>
      </c>
      <c r="H41" s="43" t="str">
        <f aca="false">IF(OR($D41="",$D41=0),"",$E41/$D41)</f>
        <v/>
      </c>
      <c r="I41" s="43" t="str">
        <f aca="false">IF(OR($D41="",$D41=0),"",($E41+$F41)/$D41)</f>
        <v/>
      </c>
      <c r="J41" s="34"/>
    </row>
    <row r="42" customFormat="false" ht="18" hidden="false" customHeight="true" outlineLevel="0" collapsed="false">
      <c r="A42" s="33"/>
      <c r="B42" s="33"/>
      <c r="C42" s="34"/>
      <c r="D42" s="33"/>
      <c r="E42" s="33"/>
      <c r="F42" s="33"/>
      <c r="G42" s="42" t="str">
        <f aca="false">IF($D42="","",$D42-$E42-$F42)</f>
        <v/>
      </c>
      <c r="H42" s="43" t="str">
        <f aca="false">IF(OR($D42="",$D42=0),"",$E42/$D42)</f>
        <v/>
      </c>
      <c r="I42" s="43" t="str">
        <f aca="false">IF(OR($D42="",$D42=0),"",($E42+$F42)/$D42)</f>
        <v/>
      </c>
      <c r="J42" s="34"/>
    </row>
    <row r="43" customFormat="false" ht="18" hidden="false" customHeight="true" outlineLevel="0" collapsed="false">
      <c r="A43" s="33"/>
      <c r="B43" s="33"/>
      <c r="C43" s="34"/>
      <c r="D43" s="33"/>
      <c r="E43" s="33"/>
      <c r="F43" s="33"/>
      <c r="G43" s="42" t="str">
        <f aca="false">IF($D43="","",$D43-$E43-$F43)</f>
        <v/>
      </c>
      <c r="H43" s="43" t="str">
        <f aca="false">IF(OR($D43="",$D43=0),"",$E43/$D43)</f>
        <v/>
      </c>
      <c r="I43" s="43" t="str">
        <f aca="false">IF(OR($D43="",$D43=0),"",($E43+$F43)/$D43)</f>
        <v/>
      </c>
      <c r="J43" s="34"/>
    </row>
    <row r="45" customFormat="false" ht="18.75" hidden="false" customHeight="true" outlineLevel="0" collapsed="false">
      <c r="A45" s="7" t="s">
        <v>335</v>
      </c>
      <c r="B45" s="7"/>
      <c r="C45" s="7"/>
      <c r="D45" s="7"/>
      <c r="E45" s="7"/>
      <c r="F45" s="7"/>
      <c r="G45" s="7"/>
      <c r="H45" s="7"/>
      <c r="I45" s="7"/>
      <c r="J45" s="7"/>
    </row>
    <row r="46" customFormat="false" ht="25.5" hidden="false" customHeight="true" outlineLevel="0" collapsed="false">
      <c r="A46" s="8" t="s">
        <v>325</v>
      </c>
      <c r="B46" s="8" t="s">
        <v>326</v>
      </c>
      <c r="C46" s="8" t="s">
        <v>201</v>
      </c>
      <c r="D46" s="8" t="s">
        <v>327</v>
      </c>
      <c r="E46" s="8" t="s">
        <v>330</v>
      </c>
    </row>
    <row r="47" customFormat="false" ht="18.75" hidden="false" customHeight="true" outlineLevel="0" collapsed="false">
      <c r="A47" s="52" t="s">
        <v>336</v>
      </c>
      <c r="B47" s="53" t="n">
        <f aca="false">SUMIF($A$32:$A$43,"Barrido 1",$D$32:$D$43)</f>
        <v>0</v>
      </c>
      <c r="C47" s="53" t="n">
        <f aca="false">SUMIF($A$32:$A$43,"Barrido 1",$E$32:$E$43)</f>
        <v>0</v>
      </c>
      <c r="D47" s="53" t="n">
        <f aca="false">SUMIF($A$32:$A$43,"Barrido 1",$F$32:$F$43)</f>
        <v>0</v>
      </c>
      <c r="E47" s="54" t="str">
        <f aca="false">IF($B47=0,"",($C47+$D47)/$B47)</f>
        <v/>
      </c>
    </row>
    <row r="48" customFormat="false" ht="18.75" hidden="false" customHeight="true" outlineLevel="0" collapsed="false">
      <c r="A48" s="52" t="s">
        <v>337</v>
      </c>
      <c r="B48" s="53" t="n">
        <f aca="false">SUMIF($A$32:$A$43,"Barrido 2",$D$32:$D$43)</f>
        <v>0</v>
      </c>
      <c r="C48" s="53" t="n">
        <f aca="false">SUMIF($A$32:$A$43,"Barrido 2",$E$32:$E$43)</f>
        <v>0</v>
      </c>
      <c r="D48" s="53" t="n">
        <f aca="false">SUMIF($A$32:$A$43,"Barrido 2",$F$32:$F$43)</f>
        <v>0</v>
      </c>
      <c r="E48" s="54" t="str">
        <f aca="false">IF($B48=0,"",($C48+$D48)/$B48)</f>
        <v/>
      </c>
    </row>
    <row r="49" customFormat="false" ht="18.75" hidden="false" customHeight="true" outlineLevel="0" collapsed="false">
      <c r="A49" s="52" t="s">
        <v>338</v>
      </c>
      <c r="B49" s="53" t="n">
        <f aca="false">SUMIF($A$32:$A$43,"Barrido 3",$D$32:$D$43)</f>
        <v>0</v>
      </c>
      <c r="C49" s="53" t="n">
        <f aca="false">SUMIF($A$32:$A$43,"Barrido 3",$E$32:$E$43)</f>
        <v>0</v>
      </c>
      <c r="D49" s="53" t="n">
        <f aca="false">SUMIF($A$32:$A$43,"Barrido 3",$F$32:$F$43)</f>
        <v>0</v>
      </c>
      <c r="E49" s="55" t="str">
        <f aca="false">IF($B49=0,"",($C49+$D49)/$B49)</f>
        <v/>
      </c>
    </row>
    <row r="51" customFormat="false" ht="15" hidden="false" customHeight="false" outlineLevel="0" collapsed="false">
      <c r="A51" s="56" t="s">
        <v>339</v>
      </c>
      <c r="B51" s="56"/>
      <c r="C51" s="56"/>
      <c r="D51" s="56"/>
      <c r="E51" s="57" t="str">
        <f aca="false">IF(OR($E$47="",$E$49=""),"",$E$49-$E$47)</f>
        <v/>
      </c>
    </row>
    <row r="52" customFormat="false" ht="18" hidden="false" customHeight="true" outlineLevel="0" collapsed="false">
      <c r="A52" s="18" t="s">
        <v>340</v>
      </c>
      <c r="B52" s="18"/>
      <c r="C52" s="18"/>
      <c r="D52" s="18"/>
      <c r="E52" s="18"/>
      <c r="F52" s="18"/>
      <c r="G52" s="18"/>
      <c r="H52" s="18"/>
      <c r="I52" s="18"/>
      <c r="J52" s="18"/>
    </row>
    <row r="54" customFormat="false" ht="18.75" hidden="false" customHeight="true" outlineLevel="0" collapsed="false">
      <c r="A54" s="4" t="s">
        <v>341</v>
      </c>
      <c r="B54" s="4"/>
      <c r="C54" s="4"/>
      <c r="D54" s="4"/>
      <c r="E54" s="4"/>
      <c r="F54" s="4"/>
      <c r="G54" s="4"/>
      <c r="H54" s="4"/>
      <c r="I54" s="4"/>
      <c r="J54" s="4"/>
    </row>
    <row r="55" customFormat="false" ht="31.5" hidden="false" customHeight="true" outlineLevel="0" collapsed="false">
      <c r="A55" s="8" t="s">
        <v>114</v>
      </c>
      <c r="B55" s="8" t="s">
        <v>209</v>
      </c>
      <c r="C55" s="8" t="s">
        <v>292</v>
      </c>
      <c r="D55" s="8" t="s">
        <v>293</v>
      </c>
      <c r="E55" s="8" t="s">
        <v>342</v>
      </c>
      <c r="F55" s="8" t="s">
        <v>343</v>
      </c>
      <c r="G55" s="8" t="s">
        <v>344</v>
      </c>
      <c r="H55" s="8" t="s">
        <v>116</v>
      </c>
      <c r="I55" s="47"/>
      <c r="J55" s="47"/>
    </row>
    <row r="56" customFormat="false" ht="24" hidden="false" customHeight="true" outlineLevel="0" collapsed="false">
      <c r="A56" s="40" t="s">
        <v>345</v>
      </c>
      <c r="B56" s="40" t="s">
        <v>346</v>
      </c>
      <c r="C56" s="40" t="s">
        <v>347</v>
      </c>
      <c r="D56" s="40" t="s">
        <v>300</v>
      </c>
      <c r="E56" s="40" t="s">
        <v>217</v>
      </c>
      <c r="F56" s="40" t="s">
        <v>217</v>
      </c>
      <c r="G56" s="40" t="n">
        <v>95</v>
      </c>
      <c r="H56" s="40" t="s">
        <v>348</v>
      </c>
    </row>
    <row r="57" customFormat="false" ht="15.75" hidden="false" customHeight="true" outlineLevel="0" collapsed="false">
      <c r="A57" s="33"/>
      <c r="B57" s="34"/>
      <c r="C57" s="34"/>
      <c r="D57" s="34"/>
      <c r="E57" s="33"/>
      <c r="F57" s="33"/>
      <c r="G57" s="33"/>
      <c r="H57" s="34"/>
    </row>
    <row r="58" customFormat="false" ht="15.75" hidden="false" customHeight="true" outlineLevel="0" collapsed="false">
      <c r="A58" s="33"/>
      <c r="B58" s="34"/>
      <c r="C58" s="34"/>
      <c r="D58" s="34"/>
      <c r="E58" s="33"/>
      <c r="F58" s="33"/>
      <c r="G58" s="33"/>
      <c r="H58" s="34"/>
    </row>
    <row r="59" customFormat="false" ht="15.75" hidden="false" customHeight="true" outlineLevel="0" collapsed="false">
      <c r="A59" s="33"/>
      <c r="B59" s="34"/>
      <c r="C59" s="34"/>
      <c r="D59" s="34"/>
      <c r="E59" s="33"/>
      <c r="F59" s="33"/>
      <c r="G59" s="33"/>
      <c r="H59" s="34"/>
    </row>
    <row r="60" customFormat="false" ht="15.75" hidden="false" customHeight="true" outlineLevel="0" collapsed="false">
      <c r="A60" s="33"/>
      <c r="B60" s="34"/>
      <c r="C60" s="34"/>
      <c r="D60" s="34"/>
      <c r="E60" s="33"/>
      <c r="F60" s="33"/>
      <c r="G60" s="33"/>
      <c r="H60" s="34"/>
    </row>
    <row r="61" customFormat="false" ht="15.75" hidden="false" customHeight="true" outlineLevel="0" collapsed="false">
      <c r="A61" s="33"/>
      <c r="B61" s="34"/>
      <c r="C61" s="34"/>
      <c r="D61" s="34"/>
      <c r="E61" s="33"/>
      <c r="F61" s="33"/>
      <c r="G61" s="33"/>
      <c r="H61" s="34"/>
    </row>
    <row r="62" customFormat="false" ht="15.75" hidden="false" customHeight="true" outlineLevel="0" collapsed="false">
      <c r="A62" s="33"/>
      <c r="B62" s="34"/>
      <c r="C62" s="34"/>
      <c r="D62" s="34"/>
      <c r="E62" s="33"/>
      <c r="F62" s="33"/>
      <c r="G62" s="33"/>
      <c r="H62" s="34"/>
    </row>
    <row r="63" customFormat="false" ht="15.75" hidden="false" customHeight="true" outlineLevel="0" collapsed="false">
      <c r="A63" s="33"/>
      <c r="B63" s="34"/>
      <c r="C63" s="34"/>
      <c r="D63" s="34"/>
      <c r="E63" s="33"/>
      <c r="F63" s="33"/>
      <c r="G63" s="33"/>
      <c r="H63" s="34"/>
    </row>
    <row r="64" customFormat="false" ht="15.75" hidden="false" customHeight="true" outlineLevel="0" collapsed="false">
      <c r="A64" s="33"/>
      <c r="B64" s="34"/>
      <c r="C64" s="34"/>
      <c r="D64" s="34"/>
      <c r="E64" s="33"/>
      <c r="F64" s="33"/>
      <c r="G64" s="33"/>
      <c r="H64" s="34"/>
    </row>
    <row r="65" customFormat="false" ht="15.75" hidden="false" customHeight="true" outlineLevel="0" collapsed="false">
      <c r="A65" s="33"/>
      <c r="B65" s="34"/>
      <c r="C65" s="34"/>
      <c r="D65" s="34"/>
      <c r="E65" s="33"/>
      <c r="F65" s="33"/>
      <c r="G65" s="33"/>
      <c r="H65" s="34"/>
    </row>
    <row r="66" customFormat="false" ht="15.75" hidden="false" customHeight="true" outlineLevel="0" collapsed="false">
      <c r="A66" s="33"/>
      <c r="B66" s="34"/>
      <c r="C66" s="34"/>
      <c r="D66" s="34"/>
      <c r="E66" s="33"/>
      <c r="F66" s="33"/>
      <c r="G66" s="33"/>
      <c r="H66" s="34"/>
    </row>
    <row r="67" customFormat="false" ht="15.75" hidden="false" customHeight="true" outlineLevel="0" collapsed="false">
      <c r="A67" s="33"/>
      <c r="B67" s="34"/>
      <c r="C67" s="34"/>
      <c r="D67" s="34"/>
      <c r="E67" s="33"/>
      <c r="F67" s="33"/>
      <c r="G67" s="33"/>
      <c r="H67" s="34"/>
    </row>
    <row r="68" customFormat="false" ht="15.75" hidden="false" customHeight="true" outlineLevel="0" collapsed="false">
      <c r="A68" s="33"/>
      <c r="B68" s="34"/>
      <c r="C68" s="34"/>
      <c r="D68" s="34"/>
      <c r="E68" s="33"/>
      <c r="F68" s="33"/>
      <c r="G68" s="33"/>
      <c r="H68" s="34"/>
    </row>
    <row r="69" customFormat="false" ht="15.75" hidden="false" customHeight="true" outlineLevel="0" collapsed="false">
      <c r="A69" s="33"/>
      <c r="B69" s="34"/>
      <c r="C69" s="34"/>
      <c r="D69" s="34"/>
      <c r="E69" s="33"/>
      <c r="F69" s="33"/>
      <c r="G69" s="33"/>
      <c r="H69" s="34"/>
    </row>
    <row r="70" customFormat="false" ht="15.75" hidden="false" customHeight="true" outlineLevel="0" collapsed="false">
      <c r="A70" s="33"/>
      <c r="B70" s="34"/>
      <c r="C70" s="34"/>
      <c r="D70" s="34"/>
      <c r="E70" s="33"/>
      <c r="F70" s="33"/>
      <c r="G70" s="33"/>
      <c r="H70" s="34"/>
    </row>
    <row r="71" customFormat="false" ht="15.75" hidden="false" customHeight="true" outlineLevel="0" collapsed="false">
      <c r="A71" s="33"/>
      <c r="B71" s="34"/>
      <c r="C71" s="34"/>
      <c r="D71" s="34"/>
      <c r="E71" s="33"/>
      <c r="F71" s="33"/>
      <c r="G71" s="33"/>
      <c r="H71" s="34"/>
    </row>
    <row r="72" customFormat="false" ht="24" hidden="false" customHeight="true" outlineLevel="0" collapsed="false">
      <c r="A72" s="44" t="s">
        <v>349</v>
      </c>
      <c r="B72" s="45"/>
      <c r="C72" s="45"/>
      <c r="D72" s="45" t="str">
        <f aca="false">IF(COUNTA(D57:D71)=0,"",COUNTA(D57:D71))</f>
        <v/>
      </c>
      <c r="E72" s="58" t="s">
        <v>350</v>
      </c>
      <c r="F72" s="46" t="str">
        <f aca="false">IF((COUNTIF($F$57:$F$71,"Sí")+COUNTIF($F$57:$F$71,"No"))=0,"",COUNTIF($F$57:$F$71,"Sí")/(COUNTIF($F$57:$F$71,"Sí")+COUNTIF($F$57:$F$71,"No")))</f>
        <v/>
      </c>
      <c r="G72" s="45"/>
      <c r="H72" s="45"/>
    </row>
    <row r="74" customFormat="false" ht="18.75" hidden="false" customHeight="true" outlineLevel="0" collapsed="false">
      <c r="A74" s="4" t="s">
        <v>351</v>
      </c>
      <c r="B74" s="4"/>
      <c r="C74" s="4"/>
      <c r="D74" s="4"/>
      <c r="E74" s="4"/>
      <c r="F74" s="4"/>
      <c r="G74" s="4"/>
      <c r="H74" s="4"/>
      <c r="I74" s="4"/>
      <c r="J74" s="4"/>
    </row>
    <row r="75" customFormat="false" ht="18.75" hidden="false" customHeight="true" outlineLevel="0" collapsed="false">
      <c r="A75" s="59" t="s">
        <v>352</v>
      </c>
      <c r="B75" s="59"/>
      <c r="C75" s="59"/>
      <c r="D75" s="60" t="str">
        <f aca="false">IF(SUM('3 Ciclo picking'!$J$30:$J$37)=0,"",SUM('3 Ciclo picking'!$J$30:$J$37))</f>
        <v/>
      </c>
    </row>
    <row r="76" customFormat="false" ht="18.75" hidden="false" customHeight="true" outlineLevel="0" collapsed="false">
      <c r="A76" s="59" t="s">
        <v>353</v>
      </c>
      <c r="B76" s="59"/>
      <c r="C76" s="59"/>
      <c r="D76" s="60" t="str">
        <f aca="false">IF(SUM('3 Ciclo picking'!$G$30:$G$37)=0,"",SUM('3 Ciclo picking'!$G$30:$G$37))</f>
        <v/>
      </c>
    </row>
    <row r="77" customFormat="false" ht="18.75" hidden="false" customHeight="true" outlineLevel="0" collapsed="false">
      <c r="A77" s="56" t="s">
        <v>354</v>
      </c>
      <c r="B77" s="56"/>
      <c r="C77" s="56"/>
      <c r="D77" s="61" t="str">
        <f aca="false">IF(OR($D$76="",$D$76=0),"",$D$75/$D$76*100)</f>
        <v/>
      </c>
    </row>
    <row r="79" customFormat="false" ht="43.5" hidden="false" customHeight="true" outlineLevel="0" collapsed="false">
      <c r="A79" s="18" t="s">
        <v>355</v>
      </c>
      <c r="B79" s="18"/>
      <c r="C79" s="18"/>
      <c r="D79" s="18"/>
      <c r="E79" s="18"/>
      <c r="F79" s="18"/>
      <c r="G79" s="18"/>
      <c r="H79" s="18"/>
      <c r="I79" s="18"/>
      <c r="J79" s="18"/>
    </row>
  </sheetData>
  <mergeCells count="36">
    <mergeCell ref="A1:J1"/>
    <mergeCell ref="A2:J2"/>
    <mergeCell ref="A4:J4"/>
    <mergeCell ref="B5:J5"/>
    <mergeCell ref="B6:J6"/>
    <mergeCell ref="B7:J7"/>
    <mergeCell ref="B8:J8"/>
    <mergeCell ref="A9:J9"/>
    <mergeCell ref="B10:J10"/>
    <mergeCell ref="B11:J11"/>
    <mergeCell ref="B12:J12"/>
    <mergeCell ref="B13:J13"/>
    <mergeCell ref="B14:J14"/>
    <mergeCell ref="A15:J15"/>
    <mergeCell ref="B16:J16"/>
    <mergeCell ref="B17:J17"/>
    <mergeCell ref="B18:J18"/>
    <mergeCell ref="B19:J19"/>
    <mergeCell ref="B20:J20"/>
    <mergeCell ref="B21:J21"/>
    <mergeCell ref="A22:J22"/>
    <mergeCell ref="B23:J23"/>
    <mergeCell ref="B24:J24"/>
    <mergeCell ref="B25:J25"/>
    <mergeCell ref="B26:J26"/>
    <mergeCell ref="B27:J27"/>
    <mergeCell ref="A29:J29"/>
    <mergeCell ref="A45:J45"/>
    <mergeCell ref="A51:D51"/>
    <mergeCell ref="A52:J52"/>
    <mergeCell ref="A54:J54"/>
    <mergeCell ref="A74:J74"/>
    <mergeCell ref="A75:C75"/>
    <mergeCell ref="A76:C76"/>
    <mergeCell ref="A77:C77"/>
    <mergeCell ref="A79:J79"/>
  </mergeCells>
  <conditionalFormatting sqref="E49">
    <cfRule type="cellIs" priority="2" operator="greaterThan" aboveAverage="0" equalAverage="0" bottom="0" percent="0" rank="0" text="" dxfId="7">
      <formula>0.2</formula>
    </cfRule>
  </conditionalFormatting>
  <conditionalFormatting sqref="E51">
    <cfRule type="cellIs" priority="3" operator="greaterThan" aboveAverage="0" equalAverage="0" bottom="0" percent="0" rank="0" text="" dxfId="7">
      <formula>0</formula>
    </cfRule>
    <cfRule type="cellIs" priority="4" operator="lessThanOrEqual" aboveAverage="0" equalAverage="0" bottom="0" percent="0" rank="0" text="" dxfId="8">
      <formula>0</formula>
    </cfRule>
  </conditionalFormatting>
  <conditionalFormatting sqref="D77">
    <cfRule type="cellIs" priority="5" operator="greaterThan" aboveAverage="0" equalAverage="0" bottom="0" percent="0" rank="0" text="" dxfId="7">
      <formula>3</formula>
    </cfRule>
  </conditionalFormatting>
  <dataValidations count="11">
    <dataValidation allowBlank="true" error="Elige una de la lista." errorStyle="stop" errorTitle="Opción no válida" operator="between" prompt="Barrido 1 = inicio de turno · Barrido 2 = media mañana · Barrido 3 = tres horas antes del corte. Usa el mismo recorrido en los tres." promptTitle="Número del barrido" showDropDown="false" showErrorMessage="false" showInputMessage="true" sqref="A32:A43" type="list">
      <formula1>"Barrido 1,Barrido 2,Barrido 3"</formula1>
      <formula2>0</formula2>
    </dataValidation>
    <dataValidation allowBlank="true" errorStyle="stop" operator="between" prompt="Hora en que hiciste ese tramo del barrido, formato HH:MM." promptTitle="Hora" showDropDown="false" showErrorMessage="false" showInputMessage="true" sqref="B32:B43" type="none">
      <formula1>0</formula1>
      <formula2>0</formula2>
    </dataValidation>
    <dataValidation allowBlank="true" errorStyle="stop" operator="between" prompt="Zona o pasillo de la cara de picking. Usa el mismo nombre en los tres barridos." promptTitle="Zona" showDropDown="false" showErrorMessage="false" showInputMessage="true" sqref="C32:C43" type="none">
      <formula1>0</formula1>
      <formula2>0</formula2>
    </dataValidation>
    <dataValidation allowBlank="true" error="Escribe un número igual o mayor que cero." errorStyle="stop" errorTitle="Solo números" operator="greaterThanOrEqual" prompt="Cuántas posiciones de picking recorriste en esa zona." promptTitle="Posiciones revisadas" showDropDown="false" showErrorMessage="true" showInputMessage="true" sqref="D32:D43" type="decimal">
      <formula1>0</formula1>
      <formula2>0</formula2>
    </dataValidation>
    <dataValidation allowBlank="true" error="Escribe un número igual o mayor que cero." errorStyle="stop" errorTitle="Solo números" operator="greaterThanOrEqual" prompt="Sin nada de producto en la posición de picking." promptTitle="Vacías" showDropDown="false" showErrorMessage="true" showInputMessage="true" sqref="E32:E43" type="decimal">
      <formula1>0</formula1>
      <formula2>0</formula2>
    </dataValidation>
    <dataValidation allowBlank="true" error="Escribe un número igual o mayor que cero." errorStyle="stop" errorTitle="Solo números" operator="greaterThanOrEqual" prompt="Queda menos de lo que ese SKU saca en una hora. Sin dato de rotación: queda una caja o menos." promptTitle="En riesgo" showDropDown="false" showErrorMessage="true" showInputMessage="true" sqref="F32:F43" type="decimal">
      <formula1>0</formula1>
      <formula2>0</formula2>
    </dataValidation>
    <dataValidation allowBlank="true" error="Elige una de la lista." errorStyle="stop" errorTitle="Opción no válida" operator="between" prompt="Sí = un operario necesitaba ese SKU en ese momento. Es lo que convierte una posición vacía en un agotado real." promptTitle="¿Había pedido pendiente?" showDropDown="false" showErrorMessage="false" showInputMessage="true" sqref="E57:E71" type="list">
      <formula1>"Sí,No,No sé"</formula1>
      <formula2>0</formula2>
    </dataValidation>
    <dataValidation allowBlank="true" error="Elige una de la lista." errorStyle="stop" errorTitle="Opción no válida" operator="between" prompt="Se llena en el barrido posterior. Sí = no la repusieron. Es la tasa de no-respuesta del reabastecimiento." promptTitle="¿Seguía vacía en el barrido siguiente?" showDropDown="false" showErrorMessage="false" showInputMessage="true" sqref="F57:F71" type="list">
      <formula1>"Sí,No"</formula1>
      <formula2>0</formula2>
    </dataValidation>
    <dataValidation allowBlank="true" errorStyle="stop" operator="between" prompt="Hora en que la encontraste vacía, formato HH:MM." promptTitle="Hora" showDropDown="false" showErrorMessage="false" showInputMessage="true" sqref="A57:A71" type="none">
      <formula1>0</formula1>
      <formula2>0</formula2>
    </dataValidation>
    <dataValidation allowBlank="true" errorStyle="stop" operator="between" prompt="Referencia agotada. Si un mismo SKU se repite, ese punto de reorden está mal puesto." promptTitle="SKU" showDropDown="false" showErrorMessage="false" showInputMessage="true" sqref="D57:D71" type="none">
      <formula1>0</formula1>
      <formula2>0</formula2>
    </dataValidation>
    <dataValidation allowBlank="true" error="Escribe un número igual o mayor que cero." errorStyle="stop" errorTitle="Solo números" operator="greaterThanOrEqual" prompt="Desde que la viste vacía hasta que llegó el producto. Si no lo sabes, déjalo vacío." promptTitle="Min hasta reponer" showDropDown="false" showErrorMessage="true" showInputMessage="true" sqref="G57:G7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6E00"/>
    <pageSetUpPr fitToPage="true"/>
  </sheetPr>
  <dimension ref="A1:S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11" min="9" style="0" width="13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26"/>
  </cols>
  <sheetData>
    <row r="1" customFormat="false" ht="25.5" hidden="false" customHeight="true" outlineLevel="0" collapsed="false">
      <c r="A1" s="19" t="s">
        <v>356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customFormat="false" ht="15.75" hidden="false" customHeight="true" outlineLevel="0" collapsed="false">
      <c r="A2" s="20" t="s">
        <v>357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4" customFormat="false" ht="18.75" hidden="false" customHeight="true" outlineLevel="0" collapsed="false">
      <c r="A4" s="4" t="s">
        <v>161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customFormat="false" ht="16.5" hidden="false" customHeight="true" outlineLevel="0" collapsed="false">
      <c r="A5" s="35" t="s">
        <v>162</v>
      </c>
      <c r="B5" s="36" t="s">
        <v>358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</row>
    <row r="6" customFormat="false" ht="16.5" hidden="false" customHeight="true" outlineLevel="0" collapsed="false">
      <c r="A6" s="35" t="s">
        <v>164</v>
      </c>
      <c r="B6" s="36" t="s">
        <v>359</v>
      </c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</row>
    <row r="7" customFormat="false" ht="16.5" hidden="false" customHeight="true" outlineLevel="0" collapsed="false">
      <c r="A7" s="35" t="s">
        <v>166</v>
      </c>
      <c r="B7" s="36" t="s">
        <v>360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</row>
    <row r="8" customFormat="false" ht="16.5" hidden="false" customHeight="true" outlineLevel="0" collapsed="false">
      <c r="A8" s="35" t="s">
        <v>168</v>
      </c>
      <c r="B8" s="36" t="s">
        <v>361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</row>
    <row r="9" customFormat="false" ht="18.75" hidden="false" customHeight="true" outlineLevel="0" collapsed="false">
      <c r="A9" s="7" t="s">
        <v>170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customFormat="false" ht="16.5" hidden="false" customHeight="true" outlineLevel="0" collapsed="false">
      <c r="A10" s="37" t="s">
        <v>171</v>
      </c>
      <c r="B10" s="36" t="s">
        <v>362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</row>
    <row r="11" customFormat="false" ht="16.5" hidden="false" customHeight="true" outlineLevel="0" collapsed="false">
      <c r="A11" s="37" t="s">
        <v>173</v>
      </c>
      <c r="B11" s="36" t="s">
        <v>363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</row>
    <row r="12" customFormat="false" ht="16.5" hidden="false" customHeight="true" outlineLevel="0" collapsed="false">
      <c r="A12" s="37" t="s">
        <v>175</v>
      </c>
      <c r="B12" s="36" t="s">
        <v>364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</row>
    <row r="13" customFormat="false" ht="16.5" hidden="false" customHeight="true" outlineLevel="0" collapsed="false">
      <c r="A13" s="37" t="s">
        <v>177</v>
      </c>
      <c r="B13" s="36" t="s">
        <v>365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</row>
    <row r="14" customFormat="false" ht="16.5" hidden="false" customHeight="true" outlineLevel="0" collapsed="false">
      <c r="A14" s="37" t="s">
        <v>179</v>
      </c>
      <c r="B14" s="36" t="s">
        <v>366</v>
      </c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</row>
    <row r="15" customFormat="false" ht="18.75" hidden="false" customHeight="true" outlineLevel="0" collapsed="false">
      <c r="A15" s="7" t="s">
        <v>183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customFormat="false" ht="16.5" hidden="false" customHeight="true" outlineLevel="0" collapsed="false">
      <c r="A16" s="37" t="s">
        <v>184</v>
      </c>
      <c r="B16" s="36" t="s">
        <v>367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</row>
    <row r="17" customFormat="false" ht="16.5" hidden="false" customHeight="true" outlineLevel="0" collapsed="false">
      <c r="A17" s="37" t="s">
        <v>184</v>
      </c>
      <c r="B17" s="36" t="s">
        <v>368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</row>
    <row r="18" customFormat="false" ht="16.5" hidden="false" customHeight="true" outlineLevel="0" collapsed="false">
      <c r="A18" s="37" t="s">
        <v>184</v>
      </c>
      <c r="B18" s="36" t="s">
        <v>369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</row>
    <row r="19" customFormat="false" ht="16.5" hidden="false" customHeight="true" outlineLevel="0" collapsed="false">
      <c r="A19" s="37" t="s">
        <v>184</v>
      </c>
      <c r="B19" s="36" t="s">
        <v>370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</row>
    <row r="20" customFormat="false" ht="16.5" hidden="false" customHeight="true" outlineLevel="0" collapsed="false">
      <c r="A20" s="37" t="s">
        <v>184</v>
      </c>
      <c r="B20" s="36" t="s">
        <v>371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</row>
    <row r="21" customFormat="false" ht="16.5" hidden="false" customHeight="true" outlineLevel="0" collapsed="false">
      <c r="A21" s="37" t="s">
        <v>184</v>
      </c>
      <c r="B21" s="36" t="s">
        <v>372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</row>
    <row r="22" customFormat="false" ht="18.75" hidden="false" customHeight="true" outlineLevel="0" collapsed="false">
      <c r="A22" s="38" t="s">
        <v>190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</row>
    <row r="23" customFormat="false" ht="16.5" hidden="false" customHeight="true" outlineLevel="0" collapsed="false">
      <c r="A23" s="39" t="s">
        <v>191</v>
      </c>
      <c r="B23" s="36" t="s">
        <v>373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</row>
    <row r="24" customFormat="false" ht="16.5" hidden="false" customHeight="true" outlineLevel="0" collapsed="false">
      <c r="A24" s="39" t="s">
        <v>191</v>
      </c>
      <c r="B24" s="36" t="s">
        <v>374</v>
      </c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</row>
    <row r="25" customFormat="false" ht="16.5" hidden="false" customHeight="true" outlineLevel="0" collapsed="false">
      <c r="A25" s="39" t="s">
        <v>191</v>
      </c>
      <c r="B25" s="36" t="s">
        <v>375</v>
      </c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</row>
    <row r="26" customFormat="false" ht="16.5" hidden="false" customHeight="true" outlineLevel="0" collapsed="false">
      <c r="A26" s="39" t="s">
        <v>191</v>
      </c>
      <c r="B26" s="36" t="s">
        <v>376</v>
      </c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</row>
    <row r="27" customFormat="false" ht="16.5" hidden="false" customHeight="true" outlineLevel="0" collapsed="false">
      <c r="A27" s="39" t="s">
        <v>191</v>
      </c>
      <c r="B27" s="36" t="s">
        <v>377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</row>
    <row r="29" customFormat="false" ht="43.5" hidden="false" customHeight="true" outlineLevel="0" collapsed="false">
      <c r="A29" s="8" t="s">
        <v>378</v>
      </c>
      <c r="B29" s="8" t="s">
        <v>379</v>
      </c>
      <c r="C29" s="8" t="s">
        <v>380</v>
      </c>
      <c r="D29" s="8" t="s">
        <v>256</v>
      </c>
      <c r="E29" s="8" t="s">
        <v>381</v>
      </c>
      <c r="F29" s="8" t="s">
        <v>382</v>
      </c>
      <c r="G29" s="8" t="s">
        <v>383</v>
      </c>
      <c r="H29" s="8" t="s">
        <v>384</v>
      </c>
      <c r="I29" s="8" t="s">
        <v>385</v>
      </c>
      <c r="J29" s="8" t="s">
        <v>386</v>
      </c>
      <c r="K29" s="8" t="s">
        <v>387</v>
      </c>
      <c r="L29" s="8" t="s">
        <v>388</v>
      </c>
      <c r="M29" s="8" t="s">
        <v>389</v>
      </c>
      <c r="N29" s="8" t="s">
        <v>87</v>
      </c>
      <c r="O29" s="8" t="s">
        <v>390</v>
      </c>
      <c r="P29" s="8" t="s">
        <v>391</v>
      </c>
      <c r="Q29" s="8" t="s">
        <v>392</v>
      </c>
      <c r="R29" s="8" t="s">
        <v>393</v>
      </c>
      <c r="S29" s="8" t="s">
        <v>116</v>
      </c>
    </row>
    <row r="30" customFormat="false" ht="24" hidden="false" customHeight="true" outlineLevel="0" collapsed="false">
      <c r="A30" s="40" t="s">
        <v>394</v>
      </c>
      <c r="B30" s="40" t="s">
        <v>395</v>
      </c>
      <c r="C30" s="40" t="s">
        <v>396</v>
      </c>
      <c r="D30" s="40" t="n">
        <v>34</v>
      </c>
      <c r="E30" s="40" t="s">
        <v>397</v>
      </c>
      <c r="F30" s="40" t="s">
        <v>398</v>
      </c>
      <c r="G30" s="40" t="s">
        <v>399</v>
      </c>
      <c r="H30" s="40" t="s">
        <v>400</v>
      </c>
      <c r="I30" s="40" t="s">
        <v>401</v>
      </c>
      <c r="J30" s="40" t="s">
        <v>402</v>
      </c>
      <c r="K30" s="40" t="n">
        <f aca="false">IF(OR($E30="",$F30=""),"",($F30-$E30)*1440)</f>
        <v>80</v>
      </c>
      <c r="L30" s="40" t="n">
        <f aca="false">IF(OR($F30="",$G30=""),"",($G30-$F30)*1440)</f>
        <v>75</v>
      </c>
      <c r="M30" s="40" t="n">
        <f aca="false">IF(OR($G30="",$H30=""),"",($H30-$G30)*1440)</f>
        <v>20</v>
      </c>
      <c r="N30" s="40" t="n">
        <f aca="false">IF(OR($H30="",$I30=""),"",($I30-$H30)*1440)</f>
        <v>195</v>
      </c>
      <c r="O30" s="40" t="n">
        <f aca="false">IF(OR($I30="",$J30=""),"",($J30-$I30)*1440)</f>
        <v>55</v>
      </c>
      <c r="P30" s="40" t="n">
        <f aca="false">IF(OR($E30="",$J30=""),"",($J30-$E30)*1440)</f>
        <v>425</v>
      </c>
      <c r="Q30" s="41" t="n">
        <f aca="false">IF(OR($P30="",$L30="",$O30="",$P30=0),"",($P30-$L30-$O30)/$P30)</f>
        <v>0.694117647058824</v>
      </c>
      <c r="R30" s="48" t="n">
        <f aca="false">IF(OR($L30="",$D30="",$D30=0),"",$L30/$D30)</f>
        <v>2.20588235294118</v>
      </c>
      <c r="S30" s="40" t="s">
        <v>403</v>
      </c>
    </row>
    <row r="31" customFormat="false" ht="16.5" hidden="false" customHeight="true" outlineLevel="0" collapsed="false">
      <c r="A31" s="34"/>
      <c r="B31" s="34"/>
      <c r="C31" s="33"/>
      <c r="D31" s="33"/>
      <c r="E31" s="62"/>
      <c r="F31" s="62"/>
      <c r="G31" s="62"/>
      <c r="H31" s="62"/>
      <c r="I31" s="62"/>
      <c r="J31" s="62"/>
      <c r="K31" s="60" t="str">
        <f aca="false">IF(OR($E31="",$F31=""),"",($F31-$E31)*1440)</f>
        <v/>
      </c>
      <c r="L31" s="60" t="str">
        <f aca="false">IF(OR($F31="",$G31=""),"",($G31-$F31)*1440)</f>
        <v/>
      </c>
      <c r="M31" s="60" t="str">
        <f aca="false">IF(OR($G31="",$H31=""),"",($H31-$G31)*1440)</f>
        <v/>
      </c>
      <c r="N31" s="60" t="str">
        <f aca="false">IF(OR($H31="",$I31=""),"",($I31-$H31)*1440)</f>
        <v/>
      </c>
      <c r="O31" s="60" t="str">
        <f aca="false">IF(OR($I31="",$J31=""),"",($J31-$I31)*1440)</f>
        <v/>
      </c>
      <c r="P31" s="60" t="str">
        <f aca="false">IF(OR($E31="",$J31=""),"",($J31-$E31)*1440)</f>
        <v/>
      </c>
      <c r="Q31" s="43" t="str">
        <f aca="false">IF(OR($P31="",$L31="",$O31="",$P31=0),"",($P31-$L31-$O31)/$P31)</f>
        <v/>
      </c>
      <c r="R31" s="49" t="str">
        <f aca="false">IF(OR($L31="",$D31="",$D31=0),"",$L31/$D31)</f>
        <v/>
      </c>
      <c r="S31" s="34"/>
    </row>
    <row r="32" customFormat="false" ht="16.5" hidden="false" customHeight="true" outlineLevel="0" collapsed="false">
      <c r="A32" s="34"/>
      <c r="B32" s="34"/>
      <c r="C32" s="33"/>
      <c r="D32" s="33"/>
      <c r="E32" s="62"/>
      <c r="F32" s="62"/>
      <c r="G32" s="62"/>
      <c r="H32" s="62"/>
      <c r="I32" s="62"/>
      <c r="J32" s="62"/>
      <c r="K32" s="60" t="str">
        <f aca="false">IF(OR($E32="",$F32=""),"",($F32-$E32)*1440)</f>
        <v/>
      </c>
      <c r="L32" s="60" t="str">
        <f aca="false">IF(OR($F32="",$G32=""),"",($G32-$F32)*1440)</f>
        <v/>
      </c>
      <c r="M32" s="60" t="str">
        <f aca="false">IF(OR($G32="",$H32=""),"",($H32-$G32)*1440)</f>
        <v/>
      </c>
      <c r="N32" s="60" t="str">
        <f aca="false">IF(OR($H32="",$I32=""),"",($I32-$H32)*1440)</f>
        <v/>
      </c>
      <c r="O32" s="60" t="str">
        <f aca="false">IF(OR($I32="",$J32=""),"",($J32-$I32)*1440)</f>
        <v/>
      </c>
      <c r="P32" s="60" t="str">
        <f aca="false">IF(OR($E32="",$J32=""),"",($J32-$E32)*1440)</f>
        <v/>
      </c>
      <c r="Q32" s="43" t="str">
        <f aca="false">IF(OR($P32="",$L32="",$O32="",$P32=0),"",($P32-$L32-$O32)/$P32)</f>
        <v/>
      </c>
      <c r="R32" s="49" t="str">
        <f aca="false">IF(OR($L32="",$D32="",$D32=0),"",$L32/$D32)</f>
        <v/>
      </c>
      <c r="S32" s="34"/>
    </row>
    <row r="33" customFormat="false" ht="16.5" hidden="false" customHeight="true" outlineLevel="0" collapsed="false">
      <c r="A33" s="34"/>
      <c r="B33" s="34"/>
      <c r="C33" s="33"/>
      <c r="D33" s="33"/>
      <c r="E33" s="62"/>
      <c r="F33" s="62"/>
      <c r="G33" s="62"/>
      <c r="H33" s="62"/>
      <c r="I33" s="62"/>
      <c r="J33" s="62"/>
      <c r="K33" s="60" t="str">
        <f aca="false">IF(OR($E33="",$F33=""),"",($F33-$E33)*1440)</f>
        <v/>
      </c>
      <c r="L33" s="60" t="str">
        <f aca="false">IF(OR($F33="",$G33=""),"",($G33-$F33)*1440)</f>
        <v/>
      </c>
      <c r="M33" s="60" t="str">
        <f aca="false">IF(OR($G33="",$H33=""),"",($H33-$G33)*1440)</f>
        <v/>
      </c>
      <c r="N33" s="60" t="str">
        <f aca="false">IF(OR($H33="",$I33=""),"",($I33-$H33)*1440)</f>
        <v/>
      </c>
      <c r="O33" s="60" t="str">
        <f aca="false">IF(OR($I33="",$J33=""),"",($J33-$I33)*1440)</f>
        <v/>
      </c>
      <c r="P33" s="60" t="str">
        <f aca="false">IF(OR($E33="",$J33=""),"",($J33-$E33)*1440)</f>
        <v/>
      </c>
      <c r="Q33" s="43" t="str">
        <f aca="false">IF(OR($P33="",$L33="",$O33="",$P33=0),"",($P33-$L33-$O33)/$P33)</f>
        <v/>
      </c>
      <c r="R33" s="49" t="str">
        <f aca="false">IF(OR($L33="",$D33="",$D33=0),"",$L33/$D33)</f>
        <v/>
      </c>
      <c r="S33" s="34"/>
    </row>
    <row r="34" customFormat="false" ht="16.5" hidden="false" customHeight="true" outlineLevel="0" collapsed="false">
      <c r="A34" s="34"/>
      <c r="B34" s="34"/>
      <c r="C34" s="33"/>
      <c r="D34" s="33"/>
      <c r="E34" s="62"/>
      <c r="F34" s="62"/>
      <c r="G34" s="62"/>
      <c r="H34" s="62"/>
      <c r="I34" s="62"/>
      <c r="J34" s="62"/>
      <c r="K34" s="60" t="str">
        <f aca="false">IF(OR($E34="",$F34=""),"",($F34-$E34)*1440)</f>
        <v/>
      </c>
      <c r="L34" s="60" t="str">
        <f aca="false">IF(OR($F34="",$G34=""),"",($G34-$F34)*1440)</f>
        <v/>
      </c>
      <c r="M34" s="60" t="str">
        <f aca="false">IF(OR($G34="",$H34=""),"",($H34-$G34)*1440)</f>
        <v/>
      </c>
      <c r="N34" s="60" t="str">
        <f aca="false">IF(OR($H34="",$I34=""),"",($I34-$H34)*1440)</f>
        <v/>
      </c>
      <c r="O34" s="60" t="str">
        <f aca="false">IF(OR($I34="",$J34=""),"",($J34-$I34)*1440)</f>
        <v/>
      </c>
      <c r="P34" s="60" t="str">
        <f aca="false">IF(OR($E34="",$J34=""),"",($J34-$E34)*1440)</f>
        <v/>
      </c>
      <c r="Q34" s="43" t="str">
        <f aca="false">IF(OR($P34="",$L34="",$O34="",$P34=0),"",($P34-$L34-$O34)/$P34)</f>
        <v/>
      </c>
      <c r="R34" s="49" t="str">
        <f aca="false">IF(OR($L34="",$D34="",$D34=0),"",$L34/$D34)</f>
        <v/>
      </c>
      <c r="S34" s="34"/>
    </row>
    <row r="35" customFormat="false" ht="16.5" hidden="false" customHeight="true" outlineLevel="0" collapsed="false">
      <c r="A35" s="34"/>
      <c r="B35" s="34"/>
      <c r="C35" s="33"/>
      <c r="D35" s="33"/>
      <c r="E35" s="62"/>
      <c r="F35" s="62"/>
      <c r="G35" s="62"/>
      <c r="H35" s="62"/>
      <c r="I35" s="62"/>
      <c r="J35" s="62"/>
      <c r="K35" s="60" t="str">
        <f aca="false">IF(OR($E35="",$F35=""),"",($F35-$E35)*1440)</f>
        <v/>
      </c>
      <c r="L35" s="60" t="str">
        <f aca="false">IF(OR($F35="",$G35=""),"",($G35-$F35)*1440)</f>
        <v/>
      </c>
      <c r="M35" s="60" t="str">
        <f aca="false">IF(OR($G35="",$H35=""),"",($H35-$G35)*1440)</f>
        <v/>
      </c>
      <c r="N35" s="60" t="str">
        <f aca="false">IF(OR($H35="",$I35=""),"",($I35-$H35)*1440)</f>
        <v/>
      </c>
      <c r="O35" s="60" t="str">
        <f aca="false">IF(OR($I35="",$J35=""),"",($J35-$I35)*1440)</f>
        <v/>
      </c>
      <c r="P35" s="60" t="str">
        <f aca="false">IF(OR($E35="",$J35=""),"",($J35-$E35)*1440)</f>
        <v/>
      </c>
      <c r="Q35" s="43" t="str">
        <f aca="false">IF(OR($P35="",$L35="",$O35="",$P35=0),"",($P35-$L35-$O35)/$P35)</f>
        <v/>
      </c>
      <c r="R35" s="49" t="str">
        <f aca="false">IF(OR($L35="",$D35="",$D35=0),"",$L35/$D35)</f>
        <v/>
      </c>
      <c r="S35" s="34"/>
    </row>
    <row r="36" customFormat="false" ht="16.5" hidden="false" customHeight="true" outlineLevel="0" collapsed="false">
      <c r="A36" s="34"/>
      <c r="B36" s="34"/>
      <c r="C36" s="33"/>
      <c r="D36" s="33"/>
      <c r="E36" s="62"/>
      <c r="F36" s="62"/>
      <c r="G36" s="62"/>
      <c r="H36" s="62"/>
      <c r="I36" s="62"/>
      <c r="J36" s="62"/>
      <c r="K36" s="60" t="str">
        <f aca="false">IF(OR($E36="",$F36=""),"",($F36-$E36)*1440)</f>
        <v/>
      </c>
      <c r="L36" s="60" t="str">
        <f aca="false">IF(OR($F36="",$G36=""),"",($G36-$F36)*1440)</f>
        <v/>
      </c>
      <c r="M36" s="60" t="str">
        <f aca="false">IF(OR($G36="",$H36=""),"",($H36-$G36)*1440)</f>
        <v/>
      </c>
      <c r="N36" s="60" t="str">
        <f aca="false">IF(OR($H36="",$I36=""),"",($I36-$H36)*1440)</f>
        <v/>
      </c>
      <c r="O36" s="60" t="str">
        <f aca="false">IF(OR($I36="",$J36=""),"",($J36-$I36)*1440)</f>
        <v/>
      </c>
      <c r="P36" s="60" t="str">
        <f aca="false">IF(OR($E36="",$J36=""),"",($J36-$E36)*1440)</f>
        <v/>
      </c>
      <c r="Q36" s="43" t="str">
        <f aca="false">IF(OR($P36="",$L36="",$O36="",$P36=0),"",($P36-$L36-$O36)/$P36)</f>
        <v/>
      </c>
      <c r="R36" s="49" t="str">
        <f aca="false">IF(OR($L36="",$D36="",$D36=0),"",$L36/$D36)</f>
        <v/>
      </c>
      <c r="S36" s="34"/>
    </row>
    <row r="37" customFormat="false" ht="16.5" hidden="false" customHeight="true" outlineLevel="0" collapsed="false">
      <c r="A37" s="34"/>
      <c r="B37" s="34"/>
      <c r="C37" s="33"/>
      <c r="D37" s="33"/>
      <c r="E37" s="62"/>
      <c r="F37" s="62"/>
      <c r="G37" s="62"/>
      <c r="H37" s="62"/>
      <c r="I37" s="62"/>
      <c r="J37" s="62"/>
      <c r="K37" s="60" t="str">
        <f aca="false">IF(OR($E37="",$F37=""),"",($F37-$E37)*1440)</f>
        <v/>
      </c>
      <c r="L37" s="60" t="str">
        <f aca="false">IF(OR($F37="",$G37=""),"",($G37-$F37)*1440)</f>
        <v/>
      </c>
      <c r="M37" s="60" t="str">
        <f aca="false">IF(OR($G37="",$H37=""),"",($H37-$G37)*1440)</f>
        <v/>
      </c>
      <c r="N37" s="60" t="str">
        <f aca="false">IF(OR($H37="",$I37=""),"",($I37-$H37)*1440)</f>
        <v/>
      </c>
      <c r="O37" s="60" t="str">
        <f aca="false">IF(OR($I37="",$J37=""),"",($J37-$I37)*1440)</f>
        <v/>
      </c>
      <c r="P37" s="60" t="str">
        <f aca="false">IF(OR($E37="",$J37=""),"",($J37-$E37)*1440)</f>
        <v/>
      </c>
      <c r="Q37" s="43" t="str">
        <f aca="false">IF(OR($P37="",$L37="",$O37="",$P37=0),"",($P37-$L37-$O37)/$P37)</f>
        <v/>
      </c>
      <c r="R37" s="49" t="str">
        <f aca="false">IF(OR($L37="",$D37="",$D37=0),"",$L37/$D37)</f>
        <v/>
      </c>
      <c r="S37" s="34"/>
    </row>
    <row r="38" customFormat="false" ht="16.5" hidden="false" customHeight="true" outlineLevel="0" collapsed="false">
      <c r="A38" s="34"/>
      <c r="B38" s="34"/>
      <c r="C38" s="33"/>
      <c r="D38" s="33"/>
      <c r="E38" s="62"/>
      <c r="F38" s="62"/>
      <c r="G38" s="62"/>
      <c r="H38" s="62"/>
      <c r="I38" s="62"/>
      <c r="J38" s="62"/>
      <c r="K38" s="60" t="str">
        <f aca="false">IF(OR($E38="",$F38=""),"",($F38-$E38)*1440)</f>
        <v/>
      </c>
      <c r="L38" s="60" t="str">
        <f aca="false">IF(OR($F38="",$G38=""),"",($G38-$F38)*1440)</f>
        <v/>
      </c>
      <c r="M38" s="60" t="str">
        <f aca="false">IF(OR($G38="",$H38=""),"",($H38-$G38)*1440)</f>
        <v/>
      </c>
      <c r="N38" s="60" t="str">
        <f aca="false">IF(OR($H38="",$I38=""),"",($I38-$H38)*1440)</f>
        <v/>
      </c>
      <c r="O38" s="60" t="str">
        <f aca="false">IF(OR($I38="",$J38=""),"",($J38-$I38)*1440)</f>
        <v/>
      </c>
      <c r="P38" s="60" t="str">
        <f aca="false">IF(OR($E38="",$J38=""),"",($J38-$E38)*1440)</f>
        <v/>
      </c>
      <c r="Q38" s="43" t="str">
        <f aca="false">IF(OR($P38="",$L38="",$O38="",$P38=0),"",($P38-$L38-$O38)/$P38)</f>
        <v/>
      </c>
      <c r="R38" s="49" t="str">
        <f aca="false">IF(OR($L38="",$D38="",$D38=0),"",$L38/$D38)</f>
        <v/>
      </c>
      <c r="S38" s="34"/>
    </row>
    <row r="39" customFormat="false" ht="16.5" hidden="false" customHeight="true" outlineLevel="0" collapsed="false">
      <c r="A39" s="34"/>
      <c r="B39" s="34"/>
      <c r="C39" s="33"/>
      <c r="D39" s="33"/>
      <c r="E39" s="62"/>
      <c r="F39" s="62"/>
      <c r="G39" s="62"/>
      <c r="H39" s="62"/>
      <c r="I39" s="62"/>
      <c r="J39" s="62"/>
      <c r="K39" s="60" t="str">
        <f aca="false">IF(OR($E39="",$F39=""),"",($F39-$E39)*1440)</f>
        <v/>
      </c>
      <c r="L39" s="60" t="str">
        <f aca="false">IF(OR($F39="",$G39=""),"",($G39-$F39)*1440)</f>
        <v/>
      </c>
      <c r="M39" s="60" t="str">
        <f aca="false">IF(OR($G39="",$H39=""),"",($H39-$G39)*1440)</f>
        <v/>
      </c>
      <c r="N39" s="60" t="str">
        <f aca="false">IF(OR($H39="",$I39=""),"",($I39-$H39)*1440)</f>
        <v/>
      </c>
      <c r="O39" s="60" t="str">
        <f aca="false">IF(OR($I39="",$J39=""),"",($J39-$I39)*1440)</f>
        <v/>
      </c>
      <c r="P39" s="60" t="str">
        <f aca="false">IF(OR($E39="",$J39=""),"",($J39-$E39)*1440)</f>
        <v/>
      </c>
      <c r="Q39" s="43" t="str">
        <f aca="false">IF(OR($P39="",$L39="",$O39="",$P39=0),"",($P39-$L39-$O39)/$P39)</f>
        <v/>
      </c>
      <c r="R39" s="49" t="str">
        <f aca="false">IF(OR($L39="",$D39="",$D39=0),"",$L39/$D39)</f>
        <v/>
      </c>
      <c r="S39" s="34"/>
    </row>
    <row r="40" customFormat="false" ht="16.5" hidden="false" customHeight="true" outlineLevel="0" collapsed="false">
      <c r="A40" s="34"/>
      <c r="B40" s="34"/>
      <c r="C40" s="33"/>
      <c r="D40" s="33"/>
      <c r="E40" s="62"/>
      <c r="F40" s="62"/>
      <c r="G40" s="62"/>
      <c r="H40" s="62"/>
      <c r="I40" s="62"/>
      <c r="J40" s="62"/>
      <c r="K40" s="60" t="str">
        <f aca="false">IF(OR($E40="",$F40=""),"",($F40-$E40)*1440)</f>
        <v/>
      </c>
      <c r="L40" s="60" t="str">
        <f aca="false">IF(OR($F40="",$G40=""),"",($G40-$F40)*1440)</f>
        <v/>
      </c>
      <c r="M40" s="60" t="str">
        <f aca="false">IF(OR($G40="",$H40=""),"",($H40-$G40)*1440)</f>
        <v/>
      </c>
      <c r="N40" s="60" t="str">
        <f aca="false">IF(OR($H40="",$I40=""),"",($I40-$H40)*1440)</f>
        <v/>
      </c>
      <c r="O40" s="60" t="str">
        <f aca="false">IF(OR($I40="",$J40=""),"",($J40-$I40)*1440)</f>
        <v/>
      </c>
      <c r="P40" s="60" t="str">
        <f aca="false">IF(OR($E40="",$J40=""),"",($J40-$E40)*1440)</f>
        <v/>
      </c>
      <c r="Q40" s="43" t="str">
        <f aca="false">IF(OR($P40="",$L40="",$O40="",$P40=0),"",($P40-$L40-$O40)/$P40)</f>
        <v/>
      </c>
      <c r="R40" s="49" t="str">
        <f aca="false">IF(OR($L40="",$D40="",$D40=0),"",$L40/$D40)</f>
        <v/>
      </c>
      <c r="S40" s="34"/>
    </row>
    <row r="41" customFormat="false" ht="16.5" hidden="false" customHeight="true" outlineLevel="0" collapsed="false">
      <c r="A41" s="34"/>
      <c r="B41" s="34"/>
      <c r="C41" s="33"/>
      <c r="D41" s="33"/>
      <c r="E41" s="62"/>
      <c r="F41" s="62"/>
      <c r="G41" s="62"/>
      <c r="H41" s="62"/>
      <c r="I41" s="62"/>
      <c r="J41" s="62"/>
      <c r="K41" s="60" t="str">
        <f aca="false">IF(OR($E41="",$F41=""),"",($F41-$E41)*1440)</f>
        <v/>
      </c>
      <c r="L41" s="60" t="str">
        <f aca="false">IF(OR($F41="",$G41=""),"",($G41-$F41)*1440)</f>
        <v/>
      </c>
      <c r="M41" s="60" t="str">
        <f aca="false">IF(OR($G41="",$H41=""),"",($H41-$G41)*1440)</f>
        <v/>
      </c>
      <c r="N41" s="60" t="str">
        <f aca="false">IF(OR($H41="",$I41=""),"",($I41-$H41)*1440)</f>
        <v/>
      </c>
      <c r="O41" s="60" t="str">
        <f aca="false">IF(OR($I41="",$J41=""),"",($J41-$I41)*1440)</f>
        <v/>
      </c>
      <c r="P41" s="60" t="str">
        <f aca="false">IF(OR($E41="",$J41=""),"",($J41-$E41)*1440)</f>
        <v/>
      </c>
      <c r="Q41" s="43" t="str">
        <f aca="false">IF(OR($P41="",$L41="",$O41="",$P41=0),"",($P41-$L41-$O41)/$P41)</f>
        <v/>
      </c>
      <c r="R41" s="49" t="str">
        <f aca="false">IF(OR($L41="",$D41="",$D41=0),"",$L41/$D41)</f>
        <v/>
      </c>
      <c r="S41" s="34"/>
    </row>
    <row r="42" customFormat="false" ht="16.5" hidden="false" customHeight="true" outlineLevel="0" collapsed="false">
      <c r="A42" s="34"/>
      <c r="B42" s="34"/>
      <c r="C42" s="33"/>
      <c r="D42" s="33"/>
      <c r="E42" s="62"/>
      <c r="F42" s="62"/>
      <c r="G42" s="62"/>
      <c r="H42" s="62"/>
      <c r="I42" s="62"/>
      <c r="J42" s="62"/>
      <c r="K42" s="60" t="str">
        <f aca="false">IF(OR($E42="",$F42=""),"",($F42-$E42)*1440)</f>
        <v/>
      </c>
      <c r="L42" s="60" t="str">
        <f aca="false">IF(OR($F42="",$G42=""),"",($G42-$F42)*1440)</f>
        <v/>
      </c>
      <c r="M42" s="60" t="str">
        <f aca="false">IF(OR($G42="",$H42=""),"",($H42-$G42)*1440)</f>
        <v/>
      </c>
      <c r="N42" s="60" t="str">
        <f aca="false">IF(OR($H42="",$I42=""),"",($I42-$H42)*1440)</f>
        <v/>
      </c>
      <c r="O42" s="60" t="str">
        <f aca="false">IF(OR($I42="",$J42=""),"",($J42-$I42)*1440)</f>
        <v/>
      </c>
      <c r="P42" s="60" t="str">
        <f aca="false">IF(OR($E42="",$J42=""),"",($J42-$E42)*1440)</f>
        <v/>
      </c>
      <c r="Q42" s="43" t="str">
        <f aca="false">IF(OR($P42="",$L42="",$O42="",$P42=0),"",($P42-$L42-$O42)/$P42)</f>
        <v/>
      </c>
      <c r="R42" s="49" t="str">
        <f aca="false">IF(OR($L42="",$D42="",$D42=0),"",$L42/$D42)</f>
        <v/>
      </c>
      <c r="S42" s="34"/>
    </row>
    <row r="43" customFormat="false" ht="16.5" hidden="false" customHeight="true" outlineLevel="0" collapsed="false">
      <c r="A43" s="34"/>
      <c r="B43" s="34"/>
      <c r="C43" s="33"/>
      <c r="D43" s="33"/>
      <c r="E43" s="62"/>
      <c r="F43" s="62"/>
      <c r="G43" s="62"/>
      <c r="H43" s="62"/>
      <c r="I43" s="62"/>
      <c r="J43" s="62"/>
      <c r="K43" s="60" t="str">
        <f aca="false">IF(OR($E43="",$F43=""),"",($F43-$E43)*1440)</f>
        <v/>
      </c>
      <c r="L43" s="60" t="str">
        <f aca="false">IF(OR($F43="",$G43=""),"",($G43-$F43)*1440)</f>
        <v/>
      </c>
      <c r="M43" s="60" t="str">
        <f aca="false">IF(OR($G43="",$H43=""),"",($H43-$G43)*1440)</f>
        <v/>
      </c>
      <c r="N43" s="60" t="str">
        <f aca="false">IF(OR($H43="",$I43=""),"",($I43-$H43)*1440)</f>
        <v/>
      </c>
      <c r="O43" s="60" t="str">
        <f aca="false">IF(OR($I43="",$J43=""),"",($J43-$I43)*1440)</f>
        <v/>
      </c>
      <c r="P43" s="60" t="str">
        <f aca="false">IF(OR($E43="",$J43=""),"",($J43-$E43)*1440)</f>
        <v/>
      </c>
      <c r="Q43" s="43" t="str">
        <f aca="false">IF(OR($P43="",$L43="",$O43="",$P43=0),"",($P43-$L43-$O43)/$P43)</f>
        <v/>
      </c>
      <c r="R43" s="49" t="str">
        <f aca="false">IF(OR($L43="",$D43="",$D43=0),"",$L43/$D43)</f>
        <v/>
      </c>
      <c r="S43" s="34"/>
    </row>
    <row r="44" customFormat="false" ht="16.5" hidden="false" customHeight="true" outlineLevel="0" collapsed="false">
      <c r="A44" s="34"/>
      <c r="B44" s="34"/>
      <c r="C44" s="33"/>
      <c r="D44" s="33"/>
      <c r="E44" s="62"/>
      <c r="F44" s="62"/>
      <c r="G44" s="62"/>
      <c r="H44" s="62"/>
      <c r="I44" s="62"/>
      <c r="J44" s="62"/>
      <c r="K44" s="60" t="str">
        <f aca="false">IF(OR($E44="",$F44=""),"",($F44-$E44)*1440)</f>
        <v/>
      </c>
      <c r="L44" s="60" t="str">
        <f aca="false">IF(OR($F44="",$G44=""),"",($G44-$F44)*1440)</f>
        <v/>
      </c>
      <c r="M44" s="60" t="str">
        <f aca="false">IF(OR($G44="",$H44=""),"",($H44-$G44)*1440)</f>
        <v/>
      </c>
      <c r="N44" s="60" t="str">
        <f aca="false">IF(OR($H44="",$I44=""),"",($I44-$H44)*1440)</f>
        <v/>
      </c>
      <c r="O44" s="60" t="str">
        <f aca="false">IF(OR($I44="",$J44=""),"",($J44-$I44)*1440)</f>
        <v/>
      </c>
      <c r="P44" s="60" t="str">
        <f aca="false">IF(OR($E44="",$J44=""),"",($J44-$E44)*1440)</f>
        <v/>
      </c>
      <c r="Q44" s="43" t="str">
        <f aca="false">IF(OR($P44="",$L44="",$O44="",$P44=0),"",($P44-$L44-$O44)/$P44)</f>
        <v/>
      </c>
      <c r="R44" s="49" t="str">
        <f aca="false">IF(OR($L44="",$D44="",$D44=0),"",$L44/$D44)</f>
        <v/>
      </c>
      <c r="S44" s="34"/>
    </row>
    <row r="45" customFormat="false" ht="16.5" hidden="false" customHeight="true" outlineLevel="0" collapsed="false">
      <c r="A45" s="34"/>
      <c r="B45" s="34"/>
      <c r="C45" s="33"/>
      <c r="D45" s="33"/>
      <c r="E45" s="62"/>
      <c r="F45" s="62"/>
      <c r="G45" s="62"/>
      <c r="H45" s="62"/>
      <c r="I45" s="62"/>
      <c r="J45" s="62"/>
      <c r="K45" s="60" t="str">
        <f aca="false">IF(OR($E45="",$F45=""),"",($F45-$E45)*1440)</f>
        <v/>
      </c>
      <c r="L45" s="60" t="str">
        <f aca="false">IF(OR($F45="",$G45=""),"",($G45-$F45)*1440)</f>
        <v/>
      </c>
      <c r="M45" s="60" t="str">
        <f aca="false">IF(OR($G45="",$H45=""),"",($H45-$G45)*1440)</f>
        <v/>
      </c>
      <c r="N45" s="60" t="str">
        <f aca="false">IF(OR($H45="",$I45=""),"",($I45-$H45)*1440)</f>
        <v/>
      </c>
      <c r="O45" s="60" t="str">
        <f aca="false">IF(OR($I45="",$J45=""),"",($J45-$I45)*1440)</f>
        <v/>
      </c>
      <c r="P45" s="60" t="str">
        <f aca="false">IF(OR($E45="",$J45=""),"",($J45-$E45)*1440)</f>
        <v/>
      </c>
      <c r="Q45" s="43" t="str">
        <f aca="false">IF(OR($P45="",$L45="",$O45="",$P45=0),"",($P45-$L45-$O45)/$P45)</f>
        <v/>
      </c>
      <c r="R45" s="49" t="str">
        <f aca="false">IF(OR($L45="",$D45="",$D45=0),"",$L45/$D45)</f>
        <v/>
      </c>
      <c r="S45" s="34"/>
    </row>
    <row r="46" customFormat="false" ht="16.5" hidden="false" customHeight="true" outlineLevel="0" collapsed="false">
      <c r="A46" s="34"/>
      <c r="B46" s="34"/>
      <c r="C46" s="33"/>
      <c r="D46" s="33"/>
      <c r="E46" s="62"/>
      <c r="F46" s="62"/>
      <c r="G46" s="62"/>
      <c r="H46" s="62"/>
      <c r="I46" s="62"/>
      <c r="J46" s="62"/>
      <c r="K46" s="60" t="str">
        <f aca="false">IF(OR($E46="",$F46=""),"",($F46-$E46)*1440)</f>
        <v/>
      </c>
      <c r="L46" s="60" t="str">
        <f aca="false">IF(OR($F46="",$G46=""),"",($G46-$F46)*1440)</f>
        <v/>
      </c>
      <c r="M46" s="60" t="str">
        <f aca="false">IF(OR($G46="",$H46=""),"",($H46-$G46)*1440)</f>
        <v/>
      </c>
      <c r="N46" s="60" t="str">
        <f aca="false">IF(OR($H46="",$I46=""),"",($I46-$H46)*1440)</f>
        <v/>
      </c>
      <c r="O46" s="60" t="str">
        <f aca="false">IF(OR($I46="",$J46=""),"",($J46-$I46)*1440)</f>
        <v/>
      </c>
      <c r="P46" s="60" t="str">
        <f aca="false">IF(OR($E46="",$J46=""),"",($J46-$E46)*1440)</f>
        <v/>
      </c>
      <c r="Q46" s="43" t="str">
        <f aca="false">IF(OR($P46="",$L46="",$O46="",$P46=0),"",($P46-$L46-$O46)/$P46)</f>
        <v/>
      </c>
      <c r="R46" s="49" t="str">
        <f aca="false">IF(OR($L46="",$D46="",$D46=0),"",$L46/$D46)</f>
        <v/>
      </c>
      <c r="S46" s="34"/>
    </row>
    <row r="47" customFormat="false" ht="16.5" hidden="false" customHeight="true" outlineLevel="0" collapsed="false">
      <c r="A47" s="34"/>
      <c r="B47" s="34"/>
      <c r="C47" s="33"/>
      <c r="D47" s="33"/>
      <c r="E47" s="62"/>
      <c r="F47" s="62"/>
      <c r="G47" s="62"/>
      <c r="H47" s="62"/>
      <c r="I47" s="62"/>
      <c r="J47" s="62"/>
      <c r="K47" s="60" t="str">
        <f aca="false">IF(OR($E47="",$F47=""),"",($F47-$E47)*1440)</f>
        <v/>
      </c>
      <c r="L47" s="60" t="str">
        <f aca="false">IF(OR($F47="",$G47=""),"",($G47-$F47)*1440)</f>
        <v/>
      </c>
      <c r="M47" s="60" t="str">
        <f aca="false">IF(OR($G47="",$H47=""),"",($H47-$G47)*1440)</f>
        <v/>
      </c>
      <c r="N47" s="60" t="str">
        <f aca="false">IF(OR($H47="",$I47=""),"",($I47-$H47)*1440)</f>
        <v/>
      </c>
      <c r="O47" s="60" t="str">
        <f aca="false">IF(OR($I47="",$J47=""),"",($J47-$I47)*1440)</f>
        <v/>
      </c>
      <c r="P47" s="60" t="str">
        <f aca="false">IF(OR($E47="",$J47=""),"",($J47-$E47)*1440)</f>
        <v/>
      </c>
      <c r="Q47" s="43" t="str">
        <f aca="false">IF(OR($P47="",$L47="",$O47="",$P47=0),"",($P47-$L47-$O47)/$P47)</f>
        <v/>
      </c>
      <c r="R47" s="49" t="str">
        <f aca="false">IF(OR($L47="",$D47="",$D47=0),"",$L47/$D47)</f>
        <v/>
      </c>
      <c r="S47" s="34"/>
    </row>
    <row r="48" customFormat="false" ht="16.5" hidden="false" customHeight="true" outlineLevel="0" collapsed="false">
      <c r="A48" s="34"/>
      <c r="B48" s="34"/>
      <c r="C48" s="33"/>
      <c r="D48" s="33"/>
      <c r="E48" s="62"/>
      <c r="F48" s="62"/>
      <c r="G48" s="62"/>
      <c r="H48" s="62"/>
      <c r="I48" s="62"/>
      <c r="J48" s="62"/>
      <c r="K48" s="60" t="str">
        <f aca="false">IF(OR($E48="",$F48=""),"",($F48-$E48)*1440)</f>
        <v/>
      </c>
      <c r="L48" s="60" t="str">
        <f aca="false">IF(OR($F48="",$G48=""),"",($G48-$F48)*1440)</f>
        <v/>
      </c>
      <c r="M48" s="60" t="str">
        <f aca="false">IF(OR($G48="",$H48=""),"",($H48-$G48)*1440)</f>
        <v/>
      </c>
      <c r="N48" s="60" t="str">
        <f aca="false">IF(OR($H48="",$I48=""),"",($I48-$H48)*1440)</f>
        <v/>
      </c>
      <c r="O48" s="60" t="str">
        <f aca="false">IF(OR($I48="",$J48=""),"",($J48-$I48)*1440)</f>
        <v/>
      </c>
      <c r="P48" s="60" t="str">
        <f aca="false">IF(OR($E48="",$J48=""),"",($J48-$E48)*1440)</f>
        <v/>
      </c>
      <c r="Q48" s="43" t="str">
        <f aca="false">IF(OR($P48="",$L48="",$O48="",$P48=0),"",($P48-$L48-$O48)/$P48)</f>
        <v/>
      </c>
      <c r="R48" s="49" t="str">
        <f aca="false">IF(OR($L48="",$D48="",$D48=0),"",$L48/$D48)</f>
        <v/>
      </c>
      <c r="S48" s="34"/>
    </row>
    <row r="49" customFormat="false" ht="16.5" hidden="false" customHeight="true" outlineLevel="0" collapsed="false">
      <c r="A49" s="34"/>
      <c r="B49" s="34"/>
      <c r="C49" s="33"/>
      <c r="D49" s="33"/>
      <c r="E49" s="62"/>
      <c r="F49" s="62"/>
      <c r="G49" s="62"/>
      <c r="H49" s="62"/>
      <c r="I49" s="62"/>
      <c r="J49" s="62"/>
      <c r="K49" s="60" t="str">
        <f aca="false">IF(OR($E49="",$F49=""),"",($F49-$E49)*1440)</f>
        <v/>
      </c>
      <c r="L49" s="60" t="str">
        <f aca="false">IF(OR($F49="",$G49=""),"",($G49-$F49)*1440)</f>
        <v/>
      </c>
      <c r="M49" s="60" t="str">
        <f aca="false">IF(OR($G49="",$H49=""),"",($H49-$G49)*1440)</f>
        <v/>
      </c>
      <c r="N49" s="60" t="str">
        <f aca="false">IF(OR($H49="",$I49=""),"",($I49-$H49)*1440)</f>
        <v/>
      </c>
      <c r="O49" s="60" t="str">
        <f aca="false">IF(OR($I49="",$J49=""),"",($J49-$I49)*1440)</f>
        <v/>
      </c>
      <c r="P49" s="60" t="str">
        <f aca="false">IF(OR($E49="",$J49=""),"",($J49-$E49)*1440)</f>
        <v/>
      </c>
      <c r="Q49" s="43" t="str">
        <f aca="false">IF(OR($P49="",$L49="",$O49="",$P49=0),"",($P49-$L49-$O49)/$P49)</f>
        <v/>
      </c>
      <c r="R49" s="49" t="str">
        <f aca="false">IF(OR($L49="",$D49="",$D49=0),"",$L49/$D49)</f>
        <v/>
      </c>
      <c r="S49" s="34"/>
    </row>
    <row r="50" customFormat="false" ht="16.5" hidden="false" customHeight="true" outlineLevel="0" collapsed="false">
      <c r="A50" s="34"/>
      <c r="B50" s="34"/>
      <c r="C50" s="33"/>
      <c r="D50" s="33"/>
      <c r="E50" s="62"/>
      <c r="F50" s="62"/>
      <c r="G50" s="62"/>
      <c r="H50" s="62"/>
      <c r="I50" s="62"/>
      <c r="J50" s="62"/>
      <c r="K50" s="60" t="str">
        <f aca="false">IF(OR($E50="",$F50=""),"",($F50-$E50)*1440)</f>
        <v/>
      </c>
      <c r="L50" s="60" t="str">
        <f aca="false">IF(OR($F50="",$G50=""),"",($G50-$F50)*1440)</f>
        <v/>
      </c>
      <c r="M50" s="60" t="str">
        <f aca="false">IF(OR($G50="",$H50=""),"",($H50-$G50)*1440)</f>
        <v/>
      </c>
      <c r="N50" s="60" t="str">
        <f aca="false">IF(OR($H50="",$I50=""),"",($I50-$H50)*1440)</f>
        <v/>
      </c>
      <c r="O50" s="60" t="str">
        <f aca="false">IF(OR($I50="",$J50=""),"",($J50-$I50)*1440)</f>
        <v/>
      </c>
      <c r="P50" s="60" t="str">
        <f aca="false">IF(OR($E50="",$J50=""),"",($J50-$E50)*1440)</f>
        <v/>
      </c>
      <c r="Q50" s="43" t="str">
        <f aca="false">IF(OR($P50="",$L50="",$O50="",$P50=0),"",($P50-$L50-$O50)/$P50)</f>
        <v/>
      </c>
      <c r="R50" s="49" t="str">
        <f aca="false">IF(OR($L50="",$D50="",$D50=0),"",$L50/$D50)</f>
        <v/>
      </c>
      <c r="S50" s="34"/>
    </row>
    <row r="51" customFormat="false" ht="16.5" hidden="false" customHeight="true" outlineLevel="0" collapsed="false">
      <c r="A51" s="34"/>
      <c r="B51" s="34"/>
      <c r="C51" s="33"/>
      <c r="D51" s="33"/>
      <c r="E51" s="62"/>
      <c r="F51" s="62"/>
      <c r="G51" s="62"/>
      <c r="H51" s="62"/>
      <c r="I51" s="62"/>
      <c r="J51" s="62"/>
      <c r="K51" s="60" t="str">
        <f aca="false">IF(OR($E51="",$F51=""),"",($F51-$E51)*1440)</f>
        <v/>
      </c>
      <c r="L51" s="60" t="str">
        <f aca="false">IF(OR($F51="",$G51=""),"",($G51-$F51)*1440)</f>
        <v/>
      </c>
      <c r="M51" s="60" t="str">
        <f aca="false">IF(OR($G51="",$H51=""),"",($H51-$G51)*1440)</f>
        <v/>
      </c>
      <c r="N51" s="60" t="str">
        <f aca="false">IF(OR($H51="",$I51=""),"",($I51-$H51)*1440)</f>
        <v/>
      </c>
      <c r="O51" s="60" t="str">
        <f aca="false">IF(OR($I51="",$J51=""),"",($J51-$I51)*1440)</f>
        <v/>
      </c>
      <c r="P51" s="60" t="str">
        <f aca="false">IF(OR($E51="",$J51=""),"",($J51-$E51)*1440)</f>
        <v/>
      </c>
      <c r="Q51" s="43" t="str">
        <f aca="false">IF(OR($P51="",$L51="",$O51="",$P51=0),"",($P51-$L51-$O51)/$P51)</f>
        <v/>
      </c>
      <c r="R51" s="49" t="str">
        <f aca="false">IF(OR($L51="",$D51="",$D51=0),"",$L51/$D51)</f>
        <v/>
      </c>
      <c r="S51" s="34"/>
    </row>
    <row r="52" customFormat="false" ht="16.5" hidden="false" customHeight="true" outlineLevel="0" collapsed="false">
      <c r="A52" s="34"/>
      <c r="B52" s="34"/>
      <c r="C52" s="33"/>
      <c r="D52" s="33"/>
      <c r="E52" s="62"/>
      <c r="F52" s="62"/>
      <c r="G52" s="62"/>
      <c r="H52" s="62"/>
      <c r="I52" s="62"/>
      <c r="J52" s="62"/>
      <c r="K52" s="60" t="str">
        <f aca="false">IF(OR($E52="",$F52=""),"",($F52-$E52)*1440)</f>
        <v/>
      </c>
      <c r="L52" s="60" t="str">
        <f aca="false">IF(OR($F52="",$G52=""),"",($G52-$F52)*1440)</f>
        <v/>
      </c>
      <c r="M52" s="60" t="str">
        <f aca="false">IF(OR($G52="",$H52=""),"",($H52-$G52)*1440)</f>
        <v/>
      </c>
      <c r="N52" s="60" t="str">
        <f aca="false">IF(OR($H52="",$I52=""),"",($I52-$H52)*1440)</f>
        <v/>
      </c>
      <c r="O52" s="60" t="str">
        <f aca="false">IF(OR($I52="",$J52=""),"",($J52-$I52)*1440)</f>
        <v/>
      </c>
      <c r="P52" s="60" t="str">
        <f aca="false">IF(OR($E52="",$J52=""),"",($J52-$E52)*1440)</f>
        <v/>
      </c>
      <c r="Q52" s="43" t="str">
        <f aca="false">IF(OR($P52="",$L52="",$O52="",$P52=0),"",($P52-$L52-$O52)/$P52)</f>
        <v/>
      </c>
      <c r="R52" s="49" t="str">
        <f aca="false">IF(OR($L52="",$D52="",$D52=0),"",$L52/$D52)</f>
        <v/>
      </c>
      <c r="S52" s="34"/>
    </row>
    <row r="53" customFormat="false" ht="16.5" hidden="false" customHeight="true" outlineLevel="0" collapsed="false">
      <c r="A53" s="34"/>
      <c r="B53" s="34"/>
      <c r="C53" s="33"/>
      <c r="D53" s="33"/>
      <c r="E53" s="62"/>
      <c r="F53" s="62"/>
      <c r="G53" s="62"/>
      <c r="H53" s="62"/>
      <c r="I53" s="62"/>
      <c r="J53" s="62"/>
      <c r="K53" s="60" t="str">
        <f aca="false">IF(OR($E53="",$F53=""),"",($F53-$E53)*1440)</f>
        <v/>
      </c>
      <c r="L53" s="60" t="str">
        <f aca="false">IF(OR($F53="",$G53=""),"",($G53-$F53)*1440)</f>
        <v/>
      </c>
      <c r="M53" s="60" t="str">
        <f aca="false">IF(OR($G53="",$H53=""),"",($H53-$G53)*1440)</f>
        <v/>
      </c>
      <c r="N53" s="60" t="str">
        <f aca="false">IF(OR($H53="",$I53=""),"",($I53-$H53)*1440)</f>
        <v/>
      </c>
      <c r="O53" s="60" t="str">
        <f aca="false">IF(OR($I53="",$J53=""),"",($J53-$I53)*1440)</f>
        <v/>
      </c>
      <c r="P53" s="60" t="str">
        <f aca="false">IF(OR($E53="",$J53=""),"",($J53-$E53)*1440)</f>
        <v/>
      </c>
      <c r="Q53" s="43" t="str">
        <f aca="false">IF(OR($P53="",$L53="",$O53="",$P53=0),"",($P53-$L53-$O53)/$P53)</f>
        <v/>
      </c>
      <c r="R53" s="49" t="str">
        <f aca="false">IF(OR($L53="",$D53="",$D53=0),"",$L53/$D53)</f>
        <v/>
      </c>
      <c r="S53" s="34"/>
    </row>
    <row r="54" customFormat="false" ht="16.5" hidden="false" customHeight="true" outlineLevel="0" collapsed="false">
      <c r="A54" s="34"/>
      <c r="B54" s="34"/>
      <c r="C54" s="33"/>
      <c r="D54" s="33"/>
      <c r="E54" s="62"/>
      <c r="F54" s="62"/>
      <c r="G54" s="62"/>
      <c r="H54" s="62"/>
      <c r="I54" s="62"/>
      <c r="J54" s="62"/>
      <c r="K54" s="60" t="str">
        <f aca="false">IF(OR($E54="",$F54=""),"",($F54-$E54)*1440)</f>
        <v/>
      </c>
      <c r="L54" s="60" t="str">
        <f aca="false">IF(OR($F54="",$G54=""),"",($G54-$F54)*1440)</f>
        <v/>
      </c>
      <c r="M54" s="60" t="str">
        <f aca="false">IF(OR($G54="",$H54=""),"",($H54-$G54)*1440)</f>
        <v/>
      </c>
      <c r="N54" s="60" t="str">
        <f aca="false">IF(OR($H54="",$I54=""),"",($I54-$H54)*1440)</f>
        <v/>
      </c>
      <c r="O54" s="60" t="str">
        <f aca="false">IF(OR($I54="",$J54=""),"",($J54-$I54)*1440)</f>
        <v/>
      </c>
      <c r="P54" s="60" t="str">
        <f aca="false">IF(OR($E54="",$J54=""),"",($J54-$E54)*1440)</f>
        <v/>
      </c>
      <c r="Q54" s="43" t="str">
        <f aca="false">IF(OR($P54="",$L54="",$O54="",$P54=0),"",($P54-$L54-$O54)/$P54)</f>
        <v/>
      </c>
      <c r="R54" s="49" t="str">
        <f aca="false">IF(OR($L54="",$D54="",$D54=0),"",$L54/$D54)</f>
        <v/>
      </c>
      <c r="S54" s="34"/>
    </row>
    <row r="55" customFormat="false" ht="16.5" hidden="false" customHeight="true" outlineLevel="0" collapsed="false">
      <c r="A55" s="34"/>
      <c r="B55" s="34"/>
      <c r="C55" s="33"/>
      <c r="D55" s="33"/>
      <c r="E55" s="62"/>
      <c r="F55" s="62"/>
      <c r="G55" s="62"/>
      <c r="H55" s="62"/>
      <c r="I55" s="62"/>
      <c r="J55" s="62"/>
      <c r="K55" s="60" t="str">
        <f aca="false">IF(OR($E55="",$F55=""),"",($F55-$E55)*1440)</f>
        <v/>
      </c>
      <c r="L55" s="60" t="str">
        <f aca="false">IF(OR($F55="",$G55=""),"",($G55-$F55)*1440)</f>
        <v/>
      </c>
      <c r="M55" s="60" t="str">
        <f aca="false">IF(OR($G55="",$H55=""),"",($H55-$G55)*1440)</f>
        <v/>
      </c>
      <c r="N55" s="60" t="str">
        <f aca="false">IF(OR($H55="",$I55=""),"",($I55-$H55)*1440)</f>
        <v/>
      </c>
      <c r="O55" s="60" t="str">
        <f aca="false">IF(OR($I55="",$J55=""),"",($J55-$I55)*1440)</f>
        <v/>
      </c>
      <c r="P55" s="60" t="str">
        <f aca="false">IF(OR($E55="",$J55=""),"",($J55-$E55)*1440)</f>
        <v/>
      </c>
      <c r="Q55" s="43" t="str">
        <f aca="false">IF(OR($P55="",$L55="",$O55="",$P55=0),"",($P55-$L55-$O55)/$P55)</f>
        <v/>
      </c>
      <c r="R55" s="49" t="str">
        <f aca="false">IF(OR($L55="",$D55="",$D55=0),"",$L55/$D55)</f>
        <v/>
      </c>
      <c r="S55" s="34"/>
    </row>
    <row r="56" customFormat="false" ht="16.5" hidden="false" customHeight="true" outlineLevel="0" collapsed="false">
      <c r="A56" s="34"/>
      <c r="B56" s="34"/>
      <c r="C56" s="33"/>
      <c r="D56" s="33"/>
      <c r="E56" s="62"/>
      <c r="F56" s="62"/>
      <c r="G56" s="62"/>
      <c r="H56" s="62"/>
      <c r="I56" s="62"/>
      <c r="J56" s="62"/>
      <c r="K56" s="60" t="str">
        <f aca="false">IF(OR($E56="",$F56=""),"",($F56-$E56)*1440)</f>
        <v/>
      </c>
      <c r="L56" s="60" t="str">
        <f aca="false">IF(OR($F56="",$G56=""),"",($G56-$F56)*1440)</f>
        <v/>
      </c>
      <c r="M56" s="60" t="str">
        <f aca="false">IF(OR($G56="",$H56=""),"",($H56-$G56)*1440)</f>
        <v/>
      </c>
      <c r="N56" s="60" t="str">
        <f aca="false">IF(OR($H56="",$I56=""),"",($I56-$H56)*1440)</f>
        <v/>
      </c>
      <c r="O56" s="60" t="str">
        <f aca="false">IF(OR($I56="",$J56=""),"",($J56-$I56)*1440)</f>
        <v/>
      </c>
      <c r="P56" s="60" t="str">
        <f aca="false">IF(OR($E56="",$J56=""),"",($J56-$E56)*1440)</f>
        <v/>
      </c>
      <c r="Q56" s="43" t="str">
        <f aca="false">IF(OR($P56="",$L56="",$O56="",$P56=0),"",($P56-$L56-$O56)/$P56)</f>
        <v/>
      </c>
      <c r="R56" s="49" t="str">
        <f aca="false">IF(OR($L56="",$D56="",$D56=0),"",$L56/$D56)</f>
        <v/>
      </c>
      <c r="S56" s="34"/>
    </row>
    <row r="57" customFormat="false" ht="16.5" hidden="false" customHeight="true" outlineLevel="0" collapsed="false">
      <c r="A57" s="34"/>
      <c r="B57" s="34"/>
      <c r="C57" s="33"/>
      <c r="D57" s="33"/>
      <c r="E57" s="62"/>
      <c r="F57" s="62"/>
      <c r="G57" s="62"/>
      <c r="H57" s="62"/>
      <c r="I57" s="62"/>
      <c r="J57" s="62"/>
      <c r="K57" s="60" t="str">
        <f aca="false">IF(OR($E57="",$F57=""),"",($F57-$E57)*1440)</f>
        <v/>
      </c>
      <c r="L57" s="60" t="str">
        <f aca="false">IF(OR($F57="",$G57=""),"",($G57-$F57)*1440)</f>
        <v/>
      </c>
      <c r="M57" s="60" t="str">
        <f aca="false">IF(OR($G57="",$H57=""),"",($H57-$G57)*1440)</f>
        <v/>
      </c>
      <c r="N57" s="60" t="str">
        <f aca="false">IF(OR($H57="",$I57=""),"",($I57-$H57)*1440)</f>
        <v/>
      </c>
      <c r="O57" s="60" t="str">
        <f aca="false">IF(OR($I57="",$J57=""),"",($J57-$I57)*1440)</f>
        <v/>
      </c>
      <c r="P57" s="60" t="str">
        <f aca="false">IF(OR($E57="",$J57=""),"",($J57-$E57)*1440)</f>
        <v/>
      </c>
      <c r="Q57" s="43" t="str">
        <f aca="false">IF(OR($P57="",$L57="",$O57="",$P57=0),"",($P57-$L57-$O57)/$P57)</f>
        <v/>
      </c>
      <c r="R57" s="49" t="str">
        <f aca="false">IF(OR($L57="",$D57="",$D57=0),"",$L57/$D57)</f>
        <v/>
      </c>
      <c r="S57" s="34"/>
    </row>
    <row r="58" customFormat="false" ht="16.5" hidden="false" customHeight="true" outlineLevel="0" collapsed="false">
      <c r="A58" s="34"/>
      <c r="B58" s="34"/>
      <c r="C58" s="33"/>
      <c r="D58" s="33"/>
      <c r="E58" s="62"/>
      <c r="F58" s="62"/>
      <c r="G58" s="62"/>
      <c r="H58" s="62"/>
      <c r="I58" s="62"/>
      <c r="J58" s="62"/>
      <c r="K58" s="60" t="str">
        <f aca="false">IF(OR($E58="",$F58=""),"",($F58-$E58)*1440)</f>
        <v/>
      </c>
      <c r="L58" s="60" t="str">
        <f aca="false">IF(OR($F58="",$G58=""),"",($G58-$F58)*1440)</f>
        <v/>
      </c>
      <c r="M58" s="60" t="str">
        <f aca="false">IF(OR($G58="",$H58=""),"",($H58-$G58)*1440)</f>
        <v/>
      </c>
      <c r="N58" s="60" t="str">
        <f aca="false">IF(OR($H58="",$I58=""),"",($I58-$H58)*1440)</f>
        <v/>
      </c>
      <c r="O58" s="60" t="str">
        <f aca="false">IF(OR($I58="",$J58=""),"",($J58-$I58)*1440)</f>
        <v/>
      </c>
      <c r="P58" s="60" t="str">
        <f aca="false">IF(OR($E58="",$J58=""),"",($J58-$E58)*1440)</f>
        <v/>
      </c>
      <c r="Q58" s="43" t="str">
        <f aca="false">IF(OR($P58="",$L58="",$O58="",$P58=0),"",($P58-$L58-$O58)/$P58)</f>
        <v/>
      </c>
      <c r="R58" s="49" t="str">
        <f aca="false">IF(OR($L58="",$D58="",$D58=0),"",$L58/$D58)</f>
        <v/>
      </c>
      <c r="S58" s="34"/>
    </row>
    <row r="59" customFormat="false" ht="16.5" hidden="false" customHeight="true" outlineLevel="0" collapsed="false">
      <c r="A59" s="34"/>
      <c r="B59" s="34"/>
      <c r="C59" s="33"/>
      <c r="D59" s="33"/>
      <c r="E59" s="62"/>
      <c r="F59" s="62"/>
      <c r="G59" s="62"/>
      <c r="H59" s="62"/>
      <c r="I59" s="62"/>
      <c r="J59" s="62"/>
      <c r="K59" s="60" t="str">
        <f aca="false">IF(OR($E59="",$F59=""),"",($F59-$E59)*1440)</f>
        <v/>
      </c>
      <c r="L59" s="60" t="str">
        <f aca="false">IF(OR($F59="",$G59=""),"",($G59-$F59)*1440)</f>
        <v/>
      </c>
      <c r="M59" s="60" t="str">
        <f aca="false">IF(OR($G59="",$H59=""),"",($H59-$G59)*1440)</f>
        <v/>
      </c>
      <c r="N59" s="60" t="str">
        <f aca="false">IF(OR($H59="",$I59=""),"",($I59-$H59)*1440)</f>
        <v/>
      </c>
      <c r="O59" s="60" t="str">
        <f aca="false">IF(OR($I59="",$J59=""),"",($J59-$I59)*1440)</f>
        <v/>
      </c>
      <c r="P59" s="60" t="str">
        <f aca="false">IF(OR($E59="",$J59=""),"",($J59-$E59)*1440)</f>
        <v/>
      </c>
      <c r="Q59" s="43" t="str">
        <f aca="false">IF(OR($P59="",$L59="",$O59="",$P59=0),"",($P59-$L59-$O59)/$P59)</f>
        <v/>
      </c>
      <c r="R59" s="49" t="str">
        <f aca="false">IF(OR($L59="",$D59="",$D59=0),"",$L59/$D59)</f>
        <v/>
      </c>
      <c r="S59" s="34"/>
    </row>
    <row r="60" customFormat="false" ht="16.5" hidden="false" customHeight="true" outlineLevel="0" collapsed="false">
      <c r="A60" s="34"/>
      <c r="B60" s="34"/>
      <c r="C60" s="33"/>
      <c r="D60" s="33"/>
      <c r="E60" s="62"/>
      <c r="F60" s="62"/>
      <c r="G60" s="62"/>
      <c r="H60" s="62"/>
      <c r="I60" s="62"/>
      <c r="J60" s="62"/>
      <c r="K60" s="60" t="str">
        <f aca="false">IF(OR($E60="",$F60=""),"",($F60-$E60)*1440)</f>
        <v/>
      </c>
      <c r="L60" s="60" t="str">
        <f aca="false">IF(OR($F60="",$G60=""),"",($G60-$F60)*1440)</f>
        <v/>
      </c>
      <c r="M60" s="60" t="str">
        <f aca="false">IF(OR($G60="",$H60=""),"",($H60-$G60)*1440)</f>
        <v/>
      </c>
      <c r="N60" s="60" t="str">
        <f aca="false">IF(OR($H60="",$I60=""),"",($I60-$H60)*1440)</f>
        <v/>
      </c>
      <c r="O60" s="60" t="str">
        <f aca="false">IF(OR($I60="",$J60=""),"",($J60-$I60)*1440)</f>
        <v/>
      </c>
      <c r="P60" s="60" t="str">
        <f aca="false">IF(OR($E60="",$J60=""),"",($J60-$E60)*1440)</f>
        <v/>
      </c>
      <c r="Q60" s="43" t="str">
        <f aca="false">IF(OR($P60="",$L60="",$O60="",$P60=0),"",($P60-$L60-$O60)/$P60)</f>
        <v/>
      </c>
      <c r="R60" s="49" t="str">
        <f aca="false">IF(OR($L60="",$D60="",$D60=0),"",$L60/$D60)</f>
        <v/>
      </c>
      <c r="S60" s="34"/>
    </row>
    <row r="61" customFormat="false" ht="16.5" hidden="false" customHeight="true" outlineLevel="0" collapsed="false">
      <c r="A61" s="34"/>
      <c r="B61" s="34"/>
      <c r="C61" s="33"/>
      <c r="D61" s="33"/>
      <c r="E61" s="62"/>
      <c r="F61" s="62"/>
      <c r="G61" s="62"/>
      <c r="H61" s="62"/>
      <c r="I61" s="62"/>
      <c r="J61" s="62"/>
      <c r="K61" s="60" t="str">
        <f aca="false">IF(OR($E61="",$F61=""),"",($F61-$E61)*1440)</f>
        <v/>
      </c>
      <c r="L61" s="60" t="str">
        <f aca="false">IF(OR($F61="",$G61=""),"",($G61-$F61)*1440)</f>
        <v/>
      </c>
      <c r="M61" s="60" t="str">
        <f aca="false">IF(OR($G61="",$H61=""),"",($H61-$G61)*1440)</f>
        <v/>
      </c>
      <c r="N61" s="60" t="str">
        <f aca="false">IF(OR($H61="",$I61=""),"",($I61-$H61)*1440)</f>
        <v/>
      </c>
      <c r="O61" s="60" t="str">
        <f aca="false">IF(OR($I61="",$J61=""),"",($J61-$I61)*1440)</f>
        <v/>
      </c>
      <c r="P61" s="60" t="str">
        <f aca="false">IF(OR($E61="",$J61=""),"",($J61-$E61)*1440)</f>
        <v/>
      </c>
      <c r="Q61" s="43" t="str">
        <f aca="false">IF(OR($P61="",$L61="",$O61="",$P61=0),"",($P61-$L61-$O61)/$P61)</f>
        <v/>
      </c>
      <c r="R61" s="49" t="str">
        <f aca="false">IF(OR($L61="",$D61="",$D61=0),"",$L61/$D61)</f>
        <v/>
      </c>
      <c r="S61" s="34"/>
    </row>
    <row r="62" customFormat="false" ht="16.5" hidden="false" customHeight="true" outlineLevel="0" collapsed="false">
      <c r="A62" s="34"/>
      <c r="B62" s="34"/>
      <c r="C62" s="33"/>
      <c r="D62" s="33"/>
      <c r="E62" s="62"/>
      <c r="F62" s="62"/>
      <c r="G62" s="62"/>
      <c r="H62" s="62"/>
      <c r="I62" s="62"/>
      <c r="J62" s="62"/>
      <c r="K62" s="60" t="str">
        <f aca="false">IF(OR($E62="",$F62=""),"",($F62-$E62)*1440)</f>
        <v/>
      </c>
      <c r="L62" s="60" t="str">
        <f aca="false">IF(OR($F62="",$G62=""),"",($G62-$F62)*1440)</f>
        <v/>
      </c>
      <c r="M62" s="60" t="str">
        <f aca="false">IF(OR($G62="",$H62=""),"",($H62-$G62)*1440)</f>
        <v/>
      </c>
      <c r="N62" s="60" t="str">
        <f aca="false">IF(OR($H62="",$I62=""),"",($I62-$H62)*1440)</f>
        <v/>
      </c>
      <c r="O62" s="60" t="str">
        <f aca="false">IF(OR($I62="",$J62=""),"",($J62-$I62)*1440)</f>
        <v/>
      </c>
      <c r="P62" s="60" t="str">
        <f aca="false">IF(OR($E62="",$J62=""),"",($J62-$E62)*1440)</f>
        <v/>
      </c>
      <c r="Q62" s="43" t="str">
        <f aca="false">IF(OR($P62="",$L62="",$O62="",$P62=0),"",($P62-$L62-$O62)/$P62)</f>
        <v/>
      </c>
      <c r="R62" s="49" t="str">
        <f aca="false">IF(OR($L62="",$D62="",$D62=0),"",$L62/$D62)</f>
        <v/>
      </c>
      <c r="S62" s="34"/>
    </row>
    <row r="63" customFormat="false" ht="16.5" hidden="false" customHeight="true" outlineLevel="0" collapsed="false">
      <c r="A63" s="34"/>
      <c r="B63" s="34"/>
      <c r="C63" s="33"/>
      <c r="D63" s="33"/>
      <c r="E63" s="62"/>
      <c r="F63" s="62"/>
      <c r="G63" s="62"/>
      <c r="H63" s="62"/>
      <c r="I63" s="62"/>
      <c r="J63" s="62"/>
      <c r="K63" s="60" t="str">
        <f aca="false">IF(OR($E63="",$F63=""),"",($F63-$E63)*1440)</f>
        <v/>
      </c>
      <c r="L63" s="60" t="str">
        <f aca="false">IF(OR($F63="",$G63=""),"",($G63-$F63)*1440)</f>
        <v/>
      </c>
      <c r="M63" s="60" t="str">
        <f aca="false">IF(OR($G63="",$H63=""),"",($H63-$G63)*1440)</f>
        <v/>
      </c>
      <c r="N63" s="60" t="str">
        <f aca="false">IF(OR($H63="",$I63=""),"",($I63-$H63)*1440)</f>
        <v/>
      </c>
      <c r="O63" s="60" t="str">
        <f aca="false">IF(OR($I63="",$J63=""),"",($J63-$I63)*1440)</f>
        <v/>
      </c>
      <c r="P63" s="60" t="str">
        <f aca="false">IF(OR($E63="",$J63=""),"",($J63-$E63)*1440)</f>
        <v/>
      </c>
      <c r="Q63" s="43" t="str">
        <f aca="false">IF(OR($P63="",$L63="",$O63="",$P63=0),"",($P63-$L63-$O63)/$P63)</f>
        <v/>
      </c>
      <c r="R63" s="49" t="str">
        <f aca="false">IF(OR($L63="",$D63="",$D63=0),"",$L63/$D63)</f>
        <v/>
      </c>
      <c r="S63" s="34"/>
    </row>
    <row r="64" customFormat="false" ht="16.5" hidden="false" customHeight="true" outlineLevel="0" collapsed="false">
      <c r="A64" s="34"/>
      <c r="B64" s="34"/>
      <c r="C64" s="33"/>
      <c r="D64" s="33"/>
      <c r="E64" s="62"/>
      <c r="F64" s="62"/>
      <c r="G64" s="62"/>
      <c r="H64" s="62"/>
      <c r="I64" s="62"/>
      <c r="J64" s="62"/>
      <c r="K64" s="60" t="str">
        <f aca="false">IF(OR($E64="",$F64=""),"",($F64-$E64)*1440)</f>
        <v/>
      </c>
      <c r="L64" s="60" t="str">
        <f aca="false">IF(OR($F64="",$G64=""),"",($G64-$F64)*1440)</f>
        <v/>
      </c>
      <c r="M64" s="60" t="str">
        <f aca="false">IF(OR($G64="",$H64=""),"",($H64-$G64)*1440)</f>
        <v/>
      </c>
      <c r="N64" s="60" t="str">
        <f aca="false">IF(OR($H64="",$I64=""),"",($I64-$H64)*1440)</f>
        <v/>
      </c>
      <c r="O64" s="60" t="str">
        <f aca="false">IF(OR($I64="",$J64=""),"",($J64-$I64)*1440)</f>
        <v/>
      </c>
      <c r="P64" s="60" t="str">
        <f aca="false">IF(OR($E64="",$J64=""),"",($J64-$E64)*1440)</f>
        <v/>
      </c>
      <c r="Q64" s="43" t="str">
        <f aca="false">IF(OR($P64="",$L64="",$O64="",$P64=0),"",($P64-$L64-$O64)/$P64)</f>
        <v/>
      </c>
      <c r="R64" s="49" t="str">
        <f aca="false">IF(OR($L64="",$D64="",$D64=0),"",$L64/$D64)</f>
        <v/>
      </c>
      <c r="S64" s="34"/>
    </row>
    <row r="65" customFormat="false" ht="16.5" hidden="false" customHeight="true" outlineLevel="0" collapsed="false">
      <c r="A65" s="34"/>
      <c r="B65" s="34"/>
      <c r="C65" s="33"/>
      <c r="D65" s="33"/>
      <c r="E65" s="62"/>
      <c r="F65" s="62"/>
      <c r="G65" s="62"/>
      <c r="H65" s="62"/>
      <c r="I65" s="62"/>
      <c r="J65" s="62"/>
      <c r="K65" s="60" t="str">
        <f aca="false">IF(OR($E65="",$F65=""),"",($F65-$E65)*1440)</f>
        <v/>
      </c>
      <c r="L65" s="60" t="str">
        <f aca="false">IF(OR($F65="",$G65=""),"",($G65-$F65)*1440)</f>
        <v/>
      </c>
      <c r="M65" s="60" t="str">
        <f aca="false">IF(OR($G65="",$H65=""),"",($H65-$G65)*1440)</f>
        <v/>
      </c>
      <c r="N65" s="60" t="str">
        <f aca="false">IF(OR($H65="",$I65=""),"",($I65-$H65)*1440)</f>
        <v/>
      </c>
      <c r="O65" s="60" t="str">
        <f aca="false">IF(OR($I65="",$J65=""),"",($J65-$I65)*1440)</f>
        <v/>
      </c>
      <c r="P65" s="60" t="str">
        <f aca="false">IF(OR($E65="",$J65=""),"",($J65-$E65)*1440)</f>
        <v/>
      </c>
      <c r="Q65" s="43" t="str">
        <f aca="false">IF(OR($P65="",$L65="",$O65="",$P65=0),"",($P65-$L65-$O65)/$P65)</f>
        <v/>
      </c>
      <c r="R65" s="49" t="str">
        <f aca="false">IF(OR($L65="",$D65="",$D65=0),"",$L65/$D65)</f>
        <v/>
      </c>
      <c r="S65" s="34"/>
    </row>
    <row r="66" customFormat="false" ht="16.5" hidden="false" customHeight="true" outlineLevel="0" collapsed="false">
      <c r="A66" s="34"/>
      <c r="B66" s="34"/>
      <c r="C66" s="33"/>
      <c r="D66" s="33"/>
      <c r="E66" s="62"/>
      <c r="F66" s="62"/>
      <c r="G66" s="62"/>
      <c r="H66" s="62"/>
      <c r="I66" s="62"/>
      <c r="J66" s="62"/>
      <c r="K66" s="60" t="str">
        <f aca="false">IF(OR($E66="",$F66=""),"",($F66-$E66)*1440)</f>
        <v/>
      </c>
      <c r="L66" s="60" t="str">
        <f aca="false">IF(OR($F66="",$G66=""),"",($G66-$F66)*1440)</f>
        <v/>
      </c>
      <c r="M66" s="60" t="str">
        <f aca="false">IF(OR($G66="",$H66=""),"",($H66-$G66)*1440)</f>
        <v/>
      </c>
      <c r="N66" s="60" t="str">
        <f aca="false">IF(OR($H66="",$I66=""),"",($I66-$H66)*1440)</f>
        <v/>
      </c>
      <c r="O66" s="60" t="str">
        <f aca="false">IF(OR($I66="",$J66=""),"",($J66-$I66)*1440)</f>
        <v/>
      </c>
      <c r="P66" s="60" t="str">
        <f aca="false">IF(OR($E66="",$J66=""),"",($J66-$E66)*1440)</f>
        <v/>
      </c>
      <c r="Q66" s="43" t="str">
        <f aca="false">IF(OR($P66="",$L66="",$O66="",$P66=0),"",($P66-$L66-$O66)/$P66)</f>
        <v/>
      </c>
      <c r="R66" s="49" t="str">
        <f aca="false">IF(OR($L66="",$D66="",$D66=0),"",$L66/$D66)</f>
        <v/>
      </c>
      <c r="S66" s="34"/>
    </row>
    <row r="67" customFormat="false" ht="16.5" hidden="false" customHeight="true" outlineLevel="0" collapsed="false">
      <c r="A67" s="34"/>
      <c r="B67" s="34"/>
      <c r="C67" s="33"/>
      <c r="D67" s="33"/>
      <c r="E67" s="62"/>
      <c r="F67" s="62"/>
      <c r="G67" s="62"/>
      <c r="H67" s="62"/>
      <c r="I67" s="62"/>
      <c r="J67" s="62"/>
      <c r="K67" s="60" t="str">
        <f aca="false">IF(OR($E67="",$F67=""),"",($F67-$E67)*1440)</f>
        <v/>
      </c>
      <c r="L67" s="60" t="str">
        <f aca="false">IF(OR($F67="",$G67=""),"",($G67-$F67)*1440)</f>
        <v/>
      </c>
      <c r="M67" s="60" t="str">
        <f aca="false">IF(OR($G67="",$H67=""),"",($H67-$G67)*1440)</f>
        <v/>
      </c>
      <c r="N67" s="60" t="str">
        <f aca="false">IF(OR($H67="",$I67=""),"",($I67-$H67)*1440)</f>
        <v/>
      </c>
      <c r="O67" s="60" t="str">
        <f aca="false">IF(OR($I67="",$J67=""),"",($J67-$I67)*1440)</f>
        <v/>
      </c>
      <c r="P67" s="60" t="str">
        <f aca="false">IF(OR($E67="",$J67=""),"",($J67-$E67)*1440)</f>
        <v/>
      </c>
      <c r="Q67" s="43" t="str">
        <f aca="false">IF(OR($P67="",$L67="",$O67="",$P67=0),"",($P67-$L67-$O67)/$P67)</f>
        <v/>
      </c>
      <c r="R67" s="49" t="str">
        <f aca="false">IF(OR($L67="",$D67="",$D67=0),"",$L67/$D67)</f>
        <v/>
      </c>
      <c r="S67" s="34"/>
    </row>
    <row r="68" customFormat="false" ht="16.5" hidden="false" customHeight="true" outlineLevel="0" collapsed="false">
      <c r="A68" s="34"/>
      <c r="B68" s="34"/>
      <c r="C68" s="33"/>
      <c r="D68" s="33"/>
      <c r="E68" s="62"/>
      <c r="F68" s="62"/>
      <c r="G68" s="62"/>
      <c r="H68" s="62"/>
      <c r="I68" s="62"/>
      <c r="J68" s="62"/>
      <c r="K68" s="60" t="str">
        <f aca="false">IF(OR($E68="",$F68=""),"",($F68-$E68)*1440)</f>
        <v/>
      </c>
      <c r="L68" s="60" t="str">
        <f aca="false">IF(OR($F68="",$G68=""),"",($G68-$F68)*1440)</f>
        <v/>
      </c>
      <c r="M68" s="60" t="str">
        <f aca="false">IF(OR($G68="",$H68=""),"",($H68-$G68)*1440)</f>
        <v/>
      </c>
      <c r="N68" s="60" t="str">
        <f aca="false">IF(OR($H68="",$I68=""),"",($I68-$H68)*1440)</f>
        <v/>
      </c>
      <c r="O68" s="60" t="str">
        <f aca="false">IF(OR($I68="",$J68=""),"",($J68-$I68)*1440)</f>
        <v/>
      </c>
      <c r="P68" s="60" t="str">
        <f aca="false">IF(OR($E68="",$J68=""),"",($J68-$E68)*1440)</f>
        <v/>
      </c>
      <c r="Q68" s="43" t="str">
        <f aca="false">IF(OR($P68="",$L68="",$O68="",$P68=0),"",($P68-$L68-$O68)/$P68)</f>
        <v/>
      </c>
      <c r="R68" s="49" t="str">
        <f aca="false">IF(OR($L68="",$D68="",$D68=0),"",$L68/$D68)</f>
        <v/>
      </c>
      <c r="S68" s="34"/>
    </row>
    <row r="69" customFormat="false" ht="16.5" hidden="false" customHeight="true" outlineLevel="0" collapsed="false">
      <c r="A69" s="34"/>
      <c r="B69" s="34"/>
      <c r="C69" s="33"/>
      <c r="D69" s="33"/>
      <c r="E69" s="62"/>
      <c r="F69" s="62"/>
      <c r="G69" s="62"/>
      <c r="H69" s="62"/>
      <c r="I69" s="62"/>
      <c r="J69" s="62"/>
      <c r="K69" s="60" t="str">
        <f aca="false">IF(OR($E69="",$F69=""),"",($F69-$E69)*1440)</f>
        <v/>
      </c>
      <c r="L69" s="60" t="str">
        <f aca="false">IF(OR($F69="",$G69=""),"",($G69-$F69)*1440)</f>
        <v/>
      </c>
      <c r="M69" s="60" t="str">
        <f aca="false">IF(OR($G69="",$H69=""),"",($H69-$G69)*1440)</f>
        <v/>
      </c>
      <c r="N69" s="60" t="str">
        <f aca="false">IF(OR($H69="",$I69=""),"",($I69-$H69)*1440)</f>
        <v/>
      </c>
      <c r="O69" s="60" t="str">
        <f aca="false">IF(OR($I69="",$J69=""),"",($J69-$I69)*1440)</f>
        <v/>
      </c>
      <c r="P69" s="60" t="str">
        <f aca="false">IF(OR($E69="",$J69=""),"",($J69-$E69)*1440)</f>
        <v/>
      </c>
      <c r="Q69" s="43" t="str">
        <f aca="false">IF(OR($P69="",$L69="",$O69="",$P69=0),"",($P69-$L69-$O69)/$P69)</f>
        <v/>
      </c>
      <c r="R69" s="49" t="str">
        <f aca="false">IF(OR($L69="",$D69="",$D69=0),"",$L69/$D69)</f>
        <v/>
      </c>
      <c r="S69" s="34"/>
    </row>
    <row r="70" customFormat="false" ht="16.5" hidden="false" customHeight="true" outlineLevel="0" collapsed="false">
      <c r="A70" s="34"/>
      <c r="B70" s="34"/>
      <c r="C70" s="33"/>
      <c r="D70" s="33"/>
      <c r="E70" s="62"/>
      <c r="F70" s="62"/>
      <c r="G70" s="62"/>
      <c r="H70" s="62"/>
      <c r="I70" s="62"/>
      <c r="J70" s="62"/>
      <c r="K70" s="60" t="str">
        <f aca="false">IF(OR($E70="",$F70=""),"",($F70-$E70)*1440)</f>
        <v/>
      </c>
      <c r="L70" s="60" t="str">
        <f aca="false">IF(OR($F70="",$G70=""),"",($G70-$F70)*1440)</f>
        <v/>
      </c>
      <c r="M70" s="60" t="str">
        <f aca="false">IF(OR($G70="",$H70=""),"",($H70-$G70)*1440)</f>
        <v/>
      </c>
      <c r="N70" s="60" t="str">
        <f aca="false">IF(OR($H70="",$I70=""),"",($I70-$H70)*1440)</f>
        <v/>
      </c>
      <c r="O70" s="60" t="str">
        <f aca="false">IF(OR($I70="",$J70=""),"",($J70-$I70)*1440)</f>
        <v/>
      </c>
      <c r="P70" s="60" t="str">
        <f aca="false">IF(OR($E70="",$J70=""),"",($J70-$E70)*1440)</f>
        <v/>
      </c>
      <c r="Q70" s="43" t="str">
        <f aca="false">IF(OR($P70="",$L70="",$O70="",$P70=0),"",($P70-$L70-$O70)/$P70)</f>
        <v/>
      </c>
      <c r="R70" s="49" t="str">
        <f aca="false">IF(OR($L70="",$D70="",$D70=0),"",$L70/$D70)</f>
        <v/>
      </c>
      <c r="S70" s="34"/>
    </row>
    <row r="71" customFormat="false" ht="16.5" hidden="false" customHeight="true" outlineLevel="0" collapsed="false">
      <c r="A71" s="34"/>
      <c r="B71" s="34"/>
      <c r="C71" s="33"/>
      <c r="D71" s="33"/>
      <c r="E71" s="62"/>
      <c r="F71" s="62"/>
      <c r="G71" s="62"/>
      <c r="H71" s="62"/>
      <c r="I71" s="62"/>
      <c r="J71" s="62"/>
      <c r="K71" s="60" t="str">
        <f aca="false">IF(OR($E71="",$F71=""),"",($F71-$E71)*1440)</f>
        <v/>
      </c>
      <c r="L71" s="60" t="str">
        <f aca="false">IF(OR($F71="",$G71=""),"",($G71-$F71)*1440)</f>
        <v/>
      </c>
      <c r="M71" s="60" t="str">
        <f aca="false">IF(OR($G71="",$H71=""),"",($H71-$G71)*1440)</f>
        <v/>
      </c>
      <c r="N71" s="60" t="str">
        <f aca="false">IF(OR($H71="",$I71=""),"",($I71-$H71)*1440)</f>
        <v/>
      </c>
      <c r="O71" s="60" t="str">
        <f aca="false">IF(OR($I71="",$J71=""),"",($J71-$I71)*1440)</f>
        <v/>
      </c>
      <c r="P71" s="60" t="str">
        <f aca="false">IF(OR($E71="",$J71=""),"",($J71-$E71)*1440)</f>
        <v/>
      </c>
      <c r="Q71" s="43" t="str">
        <f aca="false">IF(OR($P71="",$L71="",$O71="",$P71=0),"",($P71-$L71-$O71)/$P71)</f>
        <v/>
      </c>
      <c r="R71" s="49" t="str">
        <f aca="false">IF(OR($L71="",$D71="",$D71=0),"",$L71/$D71)</f>
        <v/>
      </c>
      <c r="S71" s="34"/>
    </row>
    <row r="72" customFormat="false" ht="16.5" hidden="false" customHeight="true" outlineLevel="0" collapsed="false">
      <c r="A72" s="34"/>
      <c r="B72" s="34"/>
      <c r="C72" s="33"/>
      <c r="D72" s="33"/>
      <c r="E72" s="62"/>
      <c r="F72" s="62"/>
      <c r="G72" s="62"/>
      <c r="H72" s="62"/>
      <c r="I72" s="62"/>
      <c r="J72" s="62"/>
      <c r="K72" s="60" t="str">
        <f aca="false">IF(OR($E72="",$F72=""),"",($F72-$E72)*1440)</f>
        <v/>
      </c>
      <c r="L72" s="60" t="str">
        <f aca="false">IF(OR($F72="",$G72=""),"",($G72-$F72)*1440)</f>
        <v/>
      </c>
      <c r="M72" s="60" t="str">
        <f aca="false">IF(OR($G72="",$H72=""),"",($H72-$G72)*1440)</f>
        <v/>
      </c>
      <c r="N72" s="60" t="str">
        <f aca="false">IF(OR($H72="",$I72=""),"",($I72-$H72)*1440)</f>
        <v/>
      </c>
      <c r="O72" s="60" t="str">
        <f aca="false">IF(OR($I72="",$J72=""),"",($J72-$I72)*1440)</f>
        <v/>
      </c>
      <c r="P72" s="60" t="str">
        <f aca="false">IF(OR($E72="",$J72=""),"",($J72-$E72)*1440)</f>
        <v/>
      </c>
      <c r="Q72" s="43" t="str">
        <f aca="false">IF(OR($P72="",$L72="",$O72="",$P72=0),"",($P72-$L72-$O72)/$P72)</f>
        <v/>
      </c>
      <c r="R72" s="49" t="str">
        <f aca="false">IF(OR($L72="",$D72="",$D72=0),"",$L72/$D72)</f>
        <v/>
      </c>
      <c r="S72" s="34"/>
    </row>
    <row r="73" customFormat="false" ht="16.5" hidden="false" customHeight="true" outlineLevel="0" collapsed="false">
      <c r="A73" s="34"/>
      <c r="B73" s="34"/>
      <c r="C73" s="33"/>
      <c r="D73" s="33"/>
      <c r="E73" s="62"/>
      <c r="F73" s="62"/>
      <c r="G73" s="62"/>
      <c r="H73" s="62"/>
      <c r="I73" s="62"/>
      <c r="J73" s="62"/>
      <c r="K73" s="60" t="str">
        <f aca="false">IF(OR($E73="",$F73=""),"",($F73-$E73)*1440)</f>
        <v/>
      </c>
      <c r="L73" s="60" t="str">
        <f aca="false">IF(OR($F73="",$G73=""),"",($G73-$F73)*1440)</f>
        <v/>
      </c>
      <c r="M73" s="60" t="str">
        <f aca="false">IF(OR($G73="",$H73=""),"",($H73-$G73)*1440)</f>
        <v/>
      </c>
      <c r="N73" s="60" t="str">
        <f aca="false">IF(OR($H73="",$I73=""),"",($I73-$H73)*1440)</f>
        <v/>
      </c>
      <c r="O73" s="60" t="str">
        <f aca="false">IF(OR($I73="",$J73=""),"",($J73-$I73)*1440)</f>
        <v/>
      </c>
      <c r="P73" s="60" t="str">
        <f aca="false">IF(OR($E73="",$J73=""),"",($J73-$E73)*1440)</f>
        <v/>
      </c>
      <c r="Q73" s="43" t="str">
        <f aca="false">IF(OR($P73="",$L73="",$O73="",$P73=0),"",($P73-$L73-$O73)/$P73)</f>
        <v/>
      </c>
      <c r="R73" s="49" t="str">
        <f aca="false">IF(OR($L73="",$D73="",$D73=0),"",$L73/$D73)</f>
        <v/>
      </c>
      <c r="S73" s="34"/>
    </row>
    <row r="74" customFormat="false" ht="16.5" hidden="false" customHeight="true" outlineLevel="0" collapsed="false">
      <c r="A74" s="34"/>
      <c r="B74" s="34"/>
      <c r="C74" s="33"/>
      <c r="D74" s="33"/>
      <c r="E74" s="62"/>
      <c r="F74" s="62"/>
      <c r="G74" s="62"/>
      <c r="H74" s="62"/>
      <c r="I74" s="62"/>
      <c r="J74" s="62"/>
      <c r="K74" s="60" t="str">
        <f aca="false">IF(OR($E74="",$F74=""),"",($F74-$E74)*1440)</f>
        <v/>
      </c>
      <c r="L74" s="60" t="str">
        <f aca="false">IF(OR($F74="",$G74=""),"",($G74-$F74)*1440)</f>
        <v/>
      </c>
      <c r="M74" s="60" t="str">
        <f aca="false">IF(OR($G74="",$H74=""),"",($H74-$G74)*1440)</f>
        <v/>
      </c>
      <c r="N74" s="60" t="str">
        <f aca="false">IF(OR($H74="",$I74=""),"",($I74-$H74)*1440)</f>
        <v/>
      </c>
      <c r="O74" s="60" t="str">
        <f aca="false">IF(OR($I74="",$J74=""),"",($J74-$I74)*1440)</f>
        <v/>
      </c>
      <c r="P74" s="60" t="str">
        <f aca="false">IF(OR($E74="",$J74=""),"",($J74-$E74)*1440)</f>
        <v/>
      </c>
      <c r="Q74" s="43" t="str">
        <f aca="false">IF(OR($P74="",$L74="",$O74="",$P74=0),"",($P74-$L74-$O74)/$P74)</f>
        <v/>
      </c>
      <c r="R74" s="49" t="str">
        <f aca="false">IF(OR($L74="",$D74="",$D74=0),"",$L74/$D74)</f>
        <v/>
      </c>
      <c r="S74" s="34"/>
    </row>
    <row r="75" customFormat="false" ht="16.5" hidden="false" customHeight="true" outlineLevel="0" collapsed="false">
      <c r="A75" s="34"/>
      <c r="B75" s="34"/>
      <c r="C75" s="33"/>
      <c r="D75" s="33"/>
      <c r="E75" s="62"/>
      <c r="F75" s="62"/>
      <c r="G75" s="62"/>
      <c r="H75" s="62"/>
      <c r="I75" s="62"/>
      <c r="J75" s="62"/>
      <c r="K75" s="60" t="str">
        <f aca="false">IF(OR($E75="",$F75=""),"",($F75-$E75)*1440)</f>
        <v/>
      </c>
      <c r="L75" s="60" t="str">
        <f aca="false">IF(OR($F75="",$G75=""),"",($G75-$F75)*1440)</f>
        <v/>
      </c>
      <c r="M75" s="60" t="str">
        <f aca="false">IF(OR($G75="",$H75=""),"",($H75-$G75)*1440)</f>
        <v/>
      </c>
      <c r="N75" s="60" t="str">
        <f aca="false">IF(OR($H75="",$I75=""),"",($I75-$H75)*1440)</f>
        <v/>
      </c>
      <c r="O75" s="60" t="str">
        <f aca="false">IF(OR($I75="",$J75=""),"",($J75-$I75)*1440)</f>
        <v/>
      </c>
      <c r="P75" s="60" t="str">
        <f aca="false">IF(OR($E75="",$J75=""),"",($J75-$E75)*1440)</f>
        <v/>
      </c>
      <c r="Q75" s="43" t="str">
        <f aca="false">IF(OR($P75="",$L75="",$O75="",$P75=0),"",($P75-$L75-$O75)/$P75)</f>
        <v/>
      </c>
      <c r="R75" s="49" t="str">
        <f aca="false">IF(OR($L75="",$D75="",$D75=0),"",$L75/$D75)</f>
        <v/>
      </c>
      <c r="S75" s="34"/>
    </row>
    <row r="76" customFormat="false" ht="16.5" hidden="false" customHeight="true" outlineLevel="0" collapsed="false">
      <c r="A76" s="34"/>
      <c r="B76" s="34"/>
      <c r="C76" s="33"/>
      <c r="D76" s="33"/>
      <c r="E76" s="62"/>
      <c r="F76" s="62"/>
      <c r="G76" s="62"/>
      <c r="H76" s="62"/>
      <c r="I76" s="62"/>
      <c r="J76" s="62"/>
      <c r="K76" s="60" t="str">
        <f aca="false">IF(OR($E76="",$F76=""),"",($F76-$E76)*1440)</f>
        <v/>
      </c>
      <c r="L76" s="60" t="str">
        <f aca="false">IF(OR($F76="",$G76=""),"",($G76-$F76)*1440)</f>
        <v/>
      </c>
      <c r="M76" s="60" t="str">
        <f aca="false">IF(OR($G76="",$H76=""),"",($H76-$G76)*1440)</f>
        <v/>
      </c>
      <c r="N76" s="60" t="str">
        <f aca="false">IF(OR($H76="",$I76=""),"",($I76-$H76)*1440)</f>
        <v/>
      </c>
      <c r="O76" s="60" t="str">
        <f aca="false">IF(OR($I76="",$J76=""),"",($J76-$I76)*1440)</f>
        <v/>
      </c>
      <c r="P76" s="60" t="str">
        <f aca="false">IF(OR($E76="",$J76=""),"",($J76-$E76)*1440)</f>
        <v/>
      </c>
      <c r="Q76" s="43" t="str">
        <f aca="false">IF(OR($P76="",$L76="",$O76="",$P76=0),"",($P76-$L76-$O76)/$P76)</f>
        <v/>
      </c>
      <c r="R76" s="49" t="str">
        <f aca="false">IF(OR($L76="",$D76="",$D76=0),"",$L76/$D76)</f>
        <v/>
      </c>
      <c r="S76" s="34"/>
    </row>
    <row r="77" customFormat="false" ht="16.5" hidden="false" customHeight="true" outlineLevel="0" collapsed="false">
      <c r="A77" s="34"/>
      <c r="B77" s="34"/>
      <c r="C77" s="33"/>
      <c r="D77" s="33"/>
      <c r="E77" s="62"/>
      <c r="F77" s="62"/>
      <c r="G77" s="62"/>
      <c r="H77" s="62"/>
      <c r="I77" s="62"/>
      <c r="J77" s="62"/>
      <c r="K77" s="60" t="str">
        <f aca="false">IF(OR($E77="",$F77=""),"",($F77-$E77)*1440)</f>
        <v/>
      </c>
      <c r="L77" s="60" t="str">
        <f aca="false">IF(OR($F77="",$G77=""),"",($G77-$F77)*1440)</f>
        <v/>
      </c>
      <c r="M77" s="60" t="str">
        <f aca="false">IF(OR($G77="",$H77=""),"",($H77-$G77)*1440)</f>
        <v/>
      </c>
      <c r="N77" s="60" t="str">
        <f aca="false">IF(OR($H77="",$I77=""),"",($I77-$H77)*1440)</f>
        <v/>
      </c>
      <c r="O77" s="60" t="str">
        <f aca="false">IF(OR($I77="",$J77=""),"",($J77-$I77)*1440)</f>
        <v/>
      </c>
      <c r="P77" s="60" t="str">
        <f aca="false">IF(OR($E77="",$J77=""),"",($J77-$E77)*1440)</f>
        <v/>
      </c>
      <c r="Q77" s="43" t="str">
        <f aca="false">IF(OR($P77="",$L77="",$O77="",$P77=0),"",($P77-$L77-$O77)/$P77)</f>
        <v/>
      </c>
      <c r="R77" s="49" t="str">
        <f aca="false">IF(OR($L77="",$D77="",$D77=0),"",$L77/$D77)</f>
        <v/>
      </c>
      <c r="S77" s="34"/>
    </row>
    <row r="78" customFormat="false" ht="16.5" hidden="false" customHeight="true" outlineLevel="0" collapsed="false">
      <c r="A78" s="34"/>
      <c r="B78" s="34"/>
      <c r="C78" s="33"/>
      <c r="D78" s="33"/>
      <c r="E78" s="62"/>
      <c r="F78" s="62"/>
      <c r="G78" s="62"/>
      <c r="H78" s="62"/>
      <c r="I78" s="62"/>
      <c r="J78" s="62"/>
      <c r="K78" s="60" t="str">
        <f aca="false">IF(OR($E78="",$F78=""),"",($F78-$E78)*1440)</f>
        <v/>
      </c>
      <c r="L78" s="60" t="str">
        <f aca="false">IF(OR($F78="",$G78=""),"",($G78-$F78)*1440)</f>
        <v/>
      </c>
      <c r="M78" s="60" t="str">
        <f aca="false">IF(OR($G78="",$H78=""),"",($H78-$G78)*1440)</f>
        <v/>
      </c>
      <c r="N78" s="60" t="str">
        <f aca="false">IF(OR($H78="",$I78=""),"",($I78-$H78)*1440)</f>
        <v/>
      </c>
      <c r="O78" s="60" t="str">
        <f aca="false">IF(OR($I78="",$J78=""),"",($J78-$I78)*1440)</f>
        <v/>
      </c>
      <c r="P78" s="60" t="str">
        <f aca="false">IF(OR($E78="",$J78=""),"",($J78-$E78)*1440)</f>
        <v/>
      </c>
      <c r="Q78" s="43" t="str">
        <f aca="false">IF(OR($P78="",$L78="",$O78="",$P78=0),"",($P78-$L78-$O78)/$P78)</f>
        <v/>
      </c>
      <c r="R78" s="49" t="str">
        <f aca="false">IF(OR($L78="",$D78="",$D78=0),"",$L78/$D78)</f>
        <v/>
      </c>
      <c r="S78" s="34"/>
    </row>
    <row r="79" customFormat="false" ht="16.5" hidden="false" customHeight="true" outlineLevel="0" collapsed="false">
      <c r="A79" s="34"/>
      <c r="B79" s="34"/>
      <c r="C79" s="33"/>
      <c r="D79" s="33"/>
      <c r="E79" s="62"/>
      <c r="F79" s="62"/>
      <c r="G79" s="62"/>
      <c r="H79" s="62"/>
      <c r="I79" s="62"/>
      <c r="J79" s="62"/>
      <c r="K79" s="60" t="str">
        <f aca="false">IF(OR($E79="",$F79=""),"",($F79-$E79)*1440)</f>
        <v/>
      </c>
      <c r="L79" s="60" t="str">
        <f aca="false">IF(OR($F79="",$G79=""),"",($G79-$F79)*1440)</f>
        <v/>
      </c>
      <c r="M79" s="60" t="str">
        <f aca="false">IF(OR($G79="",$H79=""),"",($H79-$G79)*1440)</f>
        <v/>
      </c>
      <c r="N79" s="60" t="str">
        <f aca="false">IF(OR($H79="",$I79=""),"",($I79-$H79)*1440)</f>
        <v/>
      </c>
      <c r="O79" s="60" t="str">
        <f aca="false">IF(OR($I79="",$J79=""),"",($J79-$I79)*1440)</f>
        <v/>
      </c>
      <c r="P79" s="60" t="str">
        <f aca="false">IF(OR($E79="",$J79=""),"",($J79-$E79)*1440)</f>
        <v/>
      </c>
      <c r="Q79" s="43" t="str">
        <f aca="false">IF(OR($P79="",$L79="",$O79="",$P79=0),"",($P79-$L79-$O79)/$P79)</f>
        <v/>
      </c>
      <c r="R79" s="49" t="str">
        <f aca="false">IF(OR($L79="",$D79="",$D79=0),"",$L79/$D79)</f>
        <v/>
      </c>
      <c r="S79" s="34"/>
    </row>
    <row r="80" customFormat="false" ht="16.5" hidden="false" customHeight="true" outlineLevel="0" collapsed="false">
      <c r="A80" s="34"/>
      <c r="B80" s="34"/>
      <c r="C80" s="33"/>
      <c r="D80" s="33"/>
      <c r="E80" s="62"/>
      <c r="F80" s="62"/>
      <c r="G80" s="62"/>
      <c r="H80" s="62"/>
      <c r="I80" s="62"/>
      <c r="J80" s="62"/>
      <c r="K80" s="60" t="str">
        <f aca="false">IF(OR($E80="",$F80=""),"",($F80-$E80)*1440)</f>
        <v/>
      </c>
      <c r="L80" s="60" t="str">
        <f aca="false">IF(OR($F80="",$G80=""),"",($G80-$F80)*1440)</f>
        <v/>
      </c>
      <c r="M80" s="60" t="str">
        <f aca="false">IF(OR($G80="",$H80=""),"",($H80-$G80)*1440)</f>
        <v/>
      </c>
      <c r="N80" s="60" t="str">
        <f aca="false">IF(OR($H80="",$I80=""),"",($I80-$H80)*1440)</f>
        <v/>
      </c>
      <c r="O80" s="60" t="str">
        <f aca="false">IF(OR($I80="",$J80=""),"",($J80-$I80)*1440)</f>
        <v/>
      </c>
      <c r="P80" s="60" t="str">
        <f aca="false">IF(OR($E80="",$J80=""),"",($J80-$E80)*1440)</f>
        <v/>
      </c>
      <c r="Q80" s="43" t="str">
        <f aca="false">IF(OR($P80="",$L80="",$O80="",$P80=0),"",($P80-$L80-$O80)/$P80)</f>
        <v/>
      </c>
      <c r="R80" s="49" t="str">
        <f aca="false">IF(OR($L80="",$D80="",$D80=0),"",$L80/$D80)</f>
        <v/>
      </c>
      <c r="S80" s="34"/>
    </row>
    <row r="81" customFormat="false" ht="16.5" hidden="false" customHeight="true" outlineLevel="0" collapsed="false">
      <c r="A81" s="34"/>
      <c r="B81" s="34"/>
      <c r="C81" s="33"/>
      <c r="D81" s="33"/>
      <c r="E81" s="62"/>
      <c r="F81" s="62"/>
      <c r="G81" s="62"/>
      <c r="H81" s="62"/>
      <c r="I81" s="62"/>
      <c r="J81" s="62"/>
      <c r="K81" s="60" t="str">
        <f aca="false">IF(OR($E81="",$F81=""),"",($F81-$E81)*1440)</f>
        <v/>
      </c>
      <c r="L81" s="60" t="str">
        <f aca="false">IF(OR($F81="",$G81=""),"",($G81-$F81)*1440)</f>
        <v/>
      </c>
      <c r="M81" s="60" t="str">
        <f aca="false">IF(OR($G81="",$H81=""),"",($H81-$G81)*1440)</f>
        <v/>
      </c>
      <c r="N81" s="60" t="str">
        <f aca="false">IF(OR($H81="",$I81=""),"",($I81-$H81)*1440)</f>
        <v/>
      </c>
      <c r="O81" s="60" t="str">
        <f aca="false">IF(OR($I81="",$J81=""),"",($J81-$I81)*1440)</f>
        <v/>
      </c>
      <c r="P81" s="60" t="str">
        <f aca="false">IF(OR($E81="",$J81=""),"",($J81-$E81)*1440)</f>
        <v/>
      </c>
      <c r="Q81" s="43" t="str">
        <f aca="false">IF(OR($P81="",$L81="",$O81="",$P81=0),"",($P81-$L81-$O81)/$P81)</f>
        <v/>
      </c>
      <c r="R81" s="49" t="str">
        <f aca="false">IF(OR($L81="",$D81="",$D81=0),"",$L81/$D81)</f>
        <v/>
      </c>
      <c r="S81" s="34"/>
    </row>
    <row r="82" customFormat="false" ht="16.5" hidden="false" customHeight="true" outlineLevel="0" collapsed="false">
      <c r="A82" s="34"/>
      <c r="B82" s="34"/>
      <c r="C82" s="33"/>
      <c r="D82" s="33"/>
      <c r="E82" s="62"/>
      <c r="F82" s="62"/>
      <c r="G82" s="62"/>
      <c r="H82" s="62"/>
      <c r="I82" s="62"/>
      <c r="J82" s="62"/>
      <c r="K82" s="60" t="str">
        <f aca="false">IF(OR($E82="",$F82=""),"",($F82-$E82)*1440)</f>
        <v/>
      </c>
      <c r="L82" s="60" t="str">
        <f aca="false">IF(OR($F82="",$G82=""),"",($G82-$F82)*1440)</f>
        <v/>
      </c>
      <c r="M82" s="60" t="str">
        <f aca="false">IF(OR($G82="",$H82=""),"",($H82-$G82)*1440)</f>
        <v/>
      </c>
      <c r="N82" s="60" t="str">
        <f aca="false">IF(OR($H82="",$I82=""),"",($I82-$H82)*1440)</f>
        <v/>
      </c>
      <c r="O82" s="60" t="str">
        <f aca="false">IF(OR($I82="",$J82=""),"",($J82-$I82)*1440)</f>
        <v/>
      </c>
      <c r="P82" s="60" t="str">
        <f aca="false">IF(OR($E82="",$J82=""),"",($J82-$E82)*1440)</f>
        <v/>
      </c>
      <c r="Q82" s="43" t="str">
        <f aca="false">IF(OR($P82="",$L82="",$O82="",$P82=0),"",($P82-$L82-$O82)/$P82)</f>
        <v/>
      </c>
      <c r="R82" s="49" t="str">
        <f aca="false">IF(OR($L82="",$D82="",$D82=0),"",$L82/$D82)</f>
        <v/>
      </c>
      <c r="S82" s="34"/>
    </row>
    <row r="83" customFormat="false" ht="16.5" hidden="false" customHeight="true" outlineLevel="0" collapsed="false">
      <c r="A83" s="34"/>
      <c r="B83" s="34"/>
      <c r="C83" s="33"/>
      <c r="D83" s="33"/>
      <c r="E83" s="62"/>
      <c r="F83" s="62"/>
      <c r="G83" s="62"/>
      <c r="H83" s="62"/>
      <c r="I83" s="62"/>
      <c r="J83" s="62"/>
      <c r="K83" s="60" t="str">
        <f aca="false">IF(OR($E83="",$F83=""),"",($F83-$E83)*1440)</f>
        <v/>
      </c>
      <c r="L83" s="60" t="str">
        <f aca="false">IF(OR($F83="",$G83=""),"",($G83-$F83)*1440)</f>
        <v/>
      </c>
      <c r="M83" s="60" t="str">
        <f aca="false">IF(OR($G83="",$H83=""),"",($H83-$G83)*1440)</f>
        <v/>
      </c>
      <c r="N83" s="60" t="str">
        <f aca="false">IF(OR($H83="",$I83=""),"",($I83-$H83)*1440)</f>
        <v/>
      </c>
      <c r="O83" s="60" t="str">
        <f aca="false">IF(OR($I83="",$J83=""),"",($J83-$I83)*1440)</f>
        <v/>
      </c>
      <c r="P83" s="60" t="str">
        <f aca="false">IF(OR($E83="",$J83=""),"",($J83-$E83)*1440)</f>
        <v/>
      </c>
      <c r="Q83" s="43" t="str">
        <f aca="false">IF(OR($P83="",$L83="",$O83="",$P83=0),"",($P83-$L83-$O83)/$P83)</f>
        <v/>
      </c>
      <c r="R83" s="49" t="str">
        <f aca="false">IF(OR($L83="",$D83="",$D83=0),"",$L83/$D83)</f>
        <v/>
      </c>
      <c r="S83" s="34"/>
    </row>
    <row r="84" customFormat="false" ht="16.5" hidden="false" customHeight="true" outlineLevel="0" collapsed="false">
      <c r="A84" s="34"/>
      <c r="B84" s="34"/>
      <c r="C84" s="33"/>
      <c r="D84" s="33"/>
      <c r="E84" s="62"/>
      <c r="F84" s="62"/>
      <c r="G84" s="62"/>
      <c r="H84" s="62"/>
      <c r="I84" s="62"/>
      <c r="J84" s="62"/>
      <c r="K84" s="60" t="str">
        <f aca="false">IF(OR($E84="",$F84=""),"",($F84-$E84)*1440)</f>
        <v/>
      </c>
      <c r="L84" s="60" t="str">
        <f aca="false">IF(OR($F84="",$G84=""),"",($G84-$F84)*1440)</f>
        <v/>
      </c>
      <c r="M84" s="60" t="str">
        <f aca="false">IF(OR($G84="",$H84=""),"",($H84-$G84)*1440)</f>
        <v/>
      </c>
      <c r="N84" s="60" t="str">
        <f aca="false">IF(OR($H84="",$I84=""),"",($I84-$H84)*1440)</f>
        <v/>
      </c>
      <c r="O84" s="60" t="str">
        <f aca="false">IF(OR($I84="",$J84=""),"",($J84-$I84)*1440)</f>
        <v/>
      </c>
      <c r="P84" s="60" t="str">
        <f aca="false">IF(OR($E84="",$J84=""),"",($J84-$E84)*1440)</f>
        <v/>
      </c>
      <c r="Q84" s="43" t="str">
        <f aca="false">IF(OR($P84="",$L84="",$O84="",$P84=0),"",($P84-$L84-$O84)/$P84)</f>
        <v/>
      </c>
      <c r="R84" s="49" t="str">
        <f aca="false">IF(OR($L84="",$D84="",$D84=0),"",$L84/$D84)</f>
        <v/>
      </c>
      <c r="S84" s="34"/>
    </row>
    <row r="85" customFormat="false" ht="16.5" hidden="false" customHeight="true" outlineLevel="0" collapsed="false">
      <c r="A85" s="34"/>
      <c r="B85" s="34"/>
      <c r="C85" s="33"/>
      <c r="D85" s="33"/>
      <c r="E85" s="62"/>
      <c r="F85" s="62"/>
      <c r="G85" s="62"/>
      <c r="H85" s="62"/>
      <c r="I85" s="62"/>
      <c r="J85" s="62"/>
      <c r="K85" s="60" t="str">
        <f aca="false">IF(OR($E85="",$F85=""),"",($F85-$E85)*1440)</f>
        <v/>
      </c>
      <c r="L85" s="60" t="str">
        <f aca="false">IF(OR($F85="",$G85=""),"",($G85-$F85)*1440)</f>
        <v/>
      </c>
      <c r="M85" s="60" t="str">
        <f aca="false">IF(OR($G85="",$H85=""),"",($H85-$G85)*1440)</f>
        <v/>
      </c>
      <c r="N85" s="60" t="str">
        <f aca="false">IF(OR($H85="",$I85=""),"",($I85-$H85)*1440)</f>
        <v/>
      </c>
      <c r="O85" s="60" t="str">
        <f aca="false">IF(OR($I85="",$J85=""),"",($J85-$I85)*1440)</f>
        <v/>
      </c>
      <c r="P85" s="60" t="str">
        <f aca="false">IF(OR($E85="",$J85=""),"",($J85-$E85)*1440)</f>
        <v/>
      </c>
      <c r="Q85" s="43" t="str">
        <f aca="false">IF(OR($P85="",$L85="",$O85="",$P85=0),"",($P85-$L85-$O85)/$P85)</f>
        <v/>
      </c>
      <c r="R85" s="49" t="str">
        <f aca="false">IF(OR($L85="",$D85="",$D85=0),"",$L85/$D85)</f>
        <v/>
      </c>
      <c r="S85" s="34"/>
    </row>
    <row r="86" customFormat="false" ht="16.5" hidden="false" customHeight="true" outlineLevel="0" collapsed="false">
      <c r="A86" s="34"/>
      <c r="B86" s="34"/>
      <c r="C86" s="33"/>
      <c r="D86" s="33"/>
      <c r="E86" s="62"/>
      <c r="F86" s="62"/>
      <c r="G86" s="62"/>
      <c r="H86" s="62"/>
      <c r="I86" s="62"/>
      <c r="J86" s="62"/>
      <c r="K86" s="60" t="str">
        <f aca="false">IF(OR($E86="",$F86=""),"",($F86-$E86)*1440)</f>
        <v/>
      </c>
      <c r="L86" s="60" t="str">
        <f aca="false">IF(OR($F86="",$G86=""),"",($G86-$F86)*1440)</f>
        <v/>
      </c>
      <c r="M86" s="60" t="str">
        <f aca="false">IF(OR($G86="",$H86=""),"",($H86-$G86)*1440)</f>
        <v/>
      </c>
      <c r="N86" s="60" t="str">
        <f aca="false">IF(OR($H86="",$I86=""),"",($I86-$H86)*1440)</f>
        <v/>
      </c>
      <c r="O86" s="60" t="str">
        <f aca="false">IF(OR($I86="",$J86=""),"",($J86-$I86)*1440)</f>
        <v/>
      </c>
      <c r="P86" s="60" t="str">
        <f aca="false">IF(OR($E86="",$J86=""),"",($J86-$E86)*1440)</f>
        <v/>
      </c>
      <c r="Q86" s="43" t="str">
        <f aca="false">IF(OR($P86="",$L86="",$O86="",$P86=0),"",($P86-$L86-$O86)/$P86)</f>
        <v/>
      </c>
      <c r="R86" s="49" t="str">
        <f aca="false">IF(OR($L86="",$D86="",$D86=0),"",$L86/$D86)</f>
        <v/>
      </c>
      <c r="S86" s="34"/>
    </row>
    <row r="87" customFormat="false" ht="16.5" hidden="false" customHeight="true" outlineLevel="0" collapsed="false">
      <c r="A87" s="34"/>
      <c r="B87" s="34"/>
      <c r="C87" s="33"/>
      <c r="D87" s="33"/>
      <c r="E87" s="62"/>
      <c r="F87" s="62"/>
      <c r="G87" s="62"/>
      <c r="H87" s="62"/>
      <c r="I87" s="62"/>
      <c r="J87" s="62"/>
      <c r="K87" s="60" t="str">
        <f aca="false">IF(OR($E87="",$F87=""),"",($F87-$E87)*1440)</f>
        <v/>
      </c>
      <c r="L87" s="60" t="str">
        <f aca="false">IF(OR($F87="",$G87=""),"",($G87-$F87)*1440)</f>
        <v/>
      </c>
      <c r="M87" s="60" t="str">
        <f aca="false">IF(OR($G87="",$H87=""),"",($H87-$G87)*1440)</f>
        <v/>
      </c>
      <c r="N87" s="60" t="str">
        <f aca="false">IF(OR($H87="",$I87=""),"",($I87-$H87)*1440)</f>
        <v/>
      </c>
      <c r="O87" s="60" t="str">
        <f aca="false">IF(OR($I87="",$J87=""),"",($J87-$I87)*1440)</f>
        <v/>
      </c>
      <c r="P87" s="60" t="str">
        <f aca="false">IF(OR($E87="",$J87=""),"",($J87-$E87)*1440)</f>
        <v/>
      </c>
      <c r="Q87" s="43" t="str">
        <f aca="false">IF(OR($P87="",$L87="",$O87="",$P87=0),"",($P87-$L87-$O87)/$P87)</f>
        <v/>
      </c>
      <c r="R87" s="49" t="str">
        <f aca="false">IF(OR($L87="",$D87="",$D87=0),"",$L87/$D87)</f>
        <v/>
      </c>
      <c r="S87" s="34"/>
    </row>
    <row r="88" customFormat="false" ht="16.5" hidden="false" customHeight="true" outlineLevel="0" collapsed="false">
      <c r="A88" s="34"/>
      <c r="B88" s="34"/>
      <c r="C88" s="33"/>
      <c r="D88" s="33"/>
      <c r="E88" s="62"/>
      <c r="F88" s="62"/>
      <c r="G88" s="62"/>
      <c r="H88" s="62"/>
      <c r="I88" s="62"/>
      <c r="J88" s="62"/>
      <c r="K88" s="60" t="str">
        <f aca="false">IF(OR($E88="",$F88=""),"",($F88-$E88)*1440)</f>
        <v/>
      </c>
      <c r="L88" s="60" t="str">
        <f aca="false">IF(OR($F88="",$G88=""),"",($G88-$F88)*1440)</f>
        <v/>
      </c>
      <c r="M88" s="60" t="str">
        <f aca="false">IF(OR($G88="",$H88=""),"",($H88-$G88)*1440)</f>
        <v/>
      </c>
      <c r="N88" s="60" t="str">
        <f aca="false">IF(OR($H88="",$I88=""),"",($I88-$H88)*1440)</f>
        <v/>
      </c>
      <c r="O88" s="60" t="str">
        <f aca="false">IF(OR($I88="",$J88=""),"",($J88-$I88)*1440)</f>
        <v/>
      </c>
      <c r="P88" s="60" t="str">
        <f aca="false">IF(OR($E88="",$J88=""),"",($J88-$E88)*1440)</f>
        <v/>
      </c>
      <c r="Q88" s="43" t="str">
        <f aca="false">IF(OR($P88="",$L88="",$O88="",$P88=0),"",($P88-$L88-$O88)/$P88)</f>
        <v/>
      </c>
      <c r="R88" s="49" t="str">
        <f aca="false">IF(OR($L88="",$D88="",$D88=0),"",$L88/$D88)</f>
        <v/>
      </c>
      <c r="S88" s="34"/>
    </row>
    <row r="89" customFormat="false" ht="16.5" hidden="false" customHeight="true" outlineLevel="0" collapsed="false">
      <c r="A89" s="34"/>
      <c r="B89" s="34"/>
      <c r="C89" s="33"/>
      <c r="D89" s="33"/>
      <c r="E89" s="62"/>
      <c r="F89" s="62"/>
      <c r="G89" s="62"/>
      <c r="H89" s="62"/>
      <c r="I89" s="62"/>
      <c r="J89" s="62"/>
      <c r="K89" s="60" t="str">
        <f aca="false">IF(OR($E89="",$F89=""),"",($F89-$E89)*1440)</f>
        <v/>
      </c>
      <c r="L89" s="60" t="str">
        <f aca="false">IF(OR($F89="",$G89=""),"",($G89-$F89)*1440)</f>
        <v/>
      </c>
      <c r="M89" s="60" t="str">
        <f aca="false">IF(OR($G89="",$H89=""),"",($H89-$G89)*1440)</f>
        <v/>
      </c>
      <c r="N89" s="60" t="str">
        <f aca="false">IF(OR($H89="",$I89=""),"",($I89-$H89)*1440)</f>
        <v/>
      </c>
      <c r="O89" s="60" t="str">
        <f aca="false">IF(OR($I89="",$J89=""),"",($J89-$I89)*1440)</f>
        <v/>
      </c>
      <c r="P89" s="60" t="str">
        <f aca="false">IF(OR($E89="",$J89=""),"",($J89-$E89)*1440)</f>
        <v/>
      </c>
      <c r="Q89" s="43" t="str">
        <f aca="false">IF(OR($P89="",$L89="",$O89="",$P89=0),"",($P89-$L89-$O89)/$P89)</f>
        <v/>
      </c>
      <c r="R89" s="49" t="str">
        <f aca="false">IF(OR($L89="",$D89="",$D89=0),"",$L89/$D89)</f>
        <v/>
      </c>
      <c r="S89" s="34"/>
    </row>
    <row r="90" customFormat="false" ht="16.5" hidden="false" customHeight="true" outlineLevel="0" collapsed="false">
      <c r="A90" s="34"/>
      <c r="B90" s="34"/>
      <c r="C90" s="33"/>
      <c r="D90" s="33"/>
      <c r="E90" s="62"/>
      <c r="F90" s="62"/>
      <c r="G90" s="62"/>
      <c r="H90" s="62"/>
      <c r="I90" s="62"/>
      <c r="J90" s="62"/>
      <c r="K90" s="60" t="str">
        <f aca="false">IF(OR($E90="",$F90=""),"",($F90-$E90)*1440)</f>
        <v/>
      </c>
      <c r="L90" s="60" t="str">
        <f aca="false">IF(OR($F90="",$G90=""),"",($G90-$F90)*1440)</f>
        <v/>
      </c>
      <c r="M90" s="60" t="str">
        <f aca="false">IF(OR($G90="",$H90=""),"",($H90-$G90)*1440)</f>
        <v/>
      </c>
      <c r="N90" s="60" t="str">
        <f aca="false">IF(OR($H90="",$I90=""),"",($I90-$H90)*1440)</f>
        <v/>
      </c>
      <c r="O90" s="60" t="str">
        <f aca="false">IF(OR($I90="",$J90=""),"",($J90-$I90)*1440)</f>
        <v/>
      </c>
      <c r="P90" s="60" t="str">
        <f aca="false">IF(OR($E90="",$J90=""),"",($J90-$E90)*1440)</f>
        <v/>
      </c>
      <c r="Q90" s="43" t="str">
        <f aca="false">IF(OR($P90="",$L90="",$O90="",$P90=0),"",($P90-$L90-$O90)/$P90)</f>
        <v/>
      </c>
      <c r="R90" s="49" t="str">
        <f aca="false">IF(OR($L90="",$D90="",$D90=0),"",$L90/$D90)</f>
        <v/>
      </c>
      <c r="S90" s="34"/>
    </row>
    <row r="91" customFormat="false" ht="24" hidden="false" customHeight="true" outlineLevel="0" collapsed="false">
      <c r="A91" s="44" t="s">
        <v>404</v>
      </c>
      <c r="B91" s="45"/>
      <c r="C91" s="45"/>
      <c r="D91" s="45" t="str">
        <f aca="false">IF(SUM(D31:D90)=0,"",SUM(D31:D90))</f>
        <v/>
      </c>
      <c r="E91" s="45"/>
      <c r="F91" s="45"/>
      <c r="G91" s="45"/>
      <c r="H91" s="45"/>
      <c r="I91" s="45"/>
      <c r="J91" s="45"/>
      <c r="K91" s="63" t="str">
        <f aca="false">IF(COUNT(K31:K90)=0,"",AVERAGE(K31:K90))</f>
        <v/>
      </c>
      <c r="L91" s="63" t="str">
        <f aca="false">IF(COUNT(L31:L90)=0,"",AVERAGE(L31:L90))</f>
        <v/>
      </c>
      <c r="M91" s="63" t="str">
        <f aca="false">IF(COUNT(M31:M90)=0,"",AVERAGE(M31:M90))</f>
        <v/>
      </c>
      <c r="N91" s="63" t="str">
        <f aca="false">IF(COUNT(N31:N90)=0,"",AVERAGE(N31:N90))</f>
        <v/>
      </c>
      <c r="O91" s="63" t="str">
        <f aca="false">IF(COUNT(O31:O90)=0,"",AVERAGE(O31:O90))</f>
        <v/>
      </c>
      <c r="P91" s="63" t="str">
        <f aca="false">IF(COUNT(P31:P90)=0,"",AVERAGE(P31:P90))</f>
        <v/>
      </c>
      <c r="Q91" s="46" t="str">
        <f aca="false">IF(SUM($P$31:$P$90)=0,"",(SUM($P$31:$P$90)-SUM($L$31:$L$90)-SUM($O$31:$O$90))/SUM($P$31:$P$90))</f>
        <v/>
      </c>
      <c r="R91" s="50" t="str">
        <f aca="false">IF(OR(SUM($L$31:$L$90)=0,SUM($D$31:$D$90)=0),"",SUM($L$31:$L$90)/SUM($D$31:$D$90))</f>
        <v/>
      </c>
      <c r="S91" s="45"/>
    </row>
    <row r="93" customFormat="false" ht="30.75" hidden="false" customHeight="true" outlineLevel="0" collapsed="false">
      <c r="A93" s="18" t="s">
        <v>405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</row>
  </sheetData>
  <mergeCells count="27">
    <mergeCell ref="A1:S1"/>
    <mergeCell ref="A2:S2"/>
    <mergeCell ref="A4:S4"/>
    <mergeCell ref="B5:S5"/>
    <mergeCell ref="B6:S6"/>
    <mergeCell ref="B7:S7"/>
    <mergeCell ref="B8:S8"/>
    <mergeCell ref="A9:S9"/>
    <mergeCell ref="B10:S10"/>
    <mergeCell ref="B11:S11"/>
    <mergeCell ref="B12:S12"/>
    <mergeCell ref="B13:S13"/>
    <mergeCell ref="B14:S14"/>
    <mergeCell ref="A15:S15"/>
    <mergeCell ref="B16:S16"/>
    <mergeCell ref="B17:S17"/>
    <mergeCell ref="B18:S18"/>
    <mergeCell ref="B19:S19"/>
    <mergeCell ref="B20:S20"/>
    <mergeCell ref="B21:S21"/>
    <mergeCell ref="A22:S22"/>
    <mergeCell ref="B23:S23"/>
    <mergeCell ref="B24:S24"/>
    <mergeCell ref="B25:S25"/>
    <mergeCell ref="B26:S26"/>
    <mergeCell ref="B27:S27"/>
    <mergeCell ref="A93:S93"/>
  </mergeCells>
  <conditionalFormatting sqref="N91">
    <cfRule type="cellIs" priority="2" operator="greaterThan" aboveAverage="0" equalAverage="0" bottom="0" percent="0" rank="0" text="" dxfId="4">
      <formula>180</formula>
    </cfRule>
  </conditionalFormatting>
  <conditionalFormatting sqref="Q91">
    <cfRule type="cellIs" priority="3" operator="greaterThan" aboveAverage="0" equalAverage="0" bottom="0" percent="0" rank="0" text="" dxfId="4">
      <formula>0.6</formula>
    </cfRule>
  </conditionalFormatting>
  <conditionalFormatting sqref="N31:N90">
    <cfRule type="cellIs" priority="4" operator="greaterThan" aboveAverage="0" equalAverage="0" bottom="0" percent="0" rank="0" text="" dxfId="9">
      <formula>180</formula>
    </cfRule>
  </conditionalFormatting>
  <dataValidations count="10">
    <dataValidation allowBlank="true" error="Elige una de la lista." errorStyle="stop" errorTitle="Opción no válida" operator="between" prompt="La prioridad que el sistema o el supervisor le asignó. Se compara con el orden real en la hoja 7." promptTitle="Prioridad declarada" showDropDown="false" showErrorMessage="false" showInputMessage="true" sqref="C31:C90" type="list">
      <formula1>"Alta,Media,Baja,Urgente"</formula1>
      <formula2>0</formula2>
    </dataValidation>
    <dataValidation allowBlank="true" errorStyle="stop" operator="between" prompt="Número del pedido. Escoge de rutas y horas distintas, no los que te sugieran." promptTitle="Pedido" showDropDown="false" showErrorMessage="false" showInputMessage="true" sqref="A31:A90" type="none">
      <formula1>0</formula1>
      <formula2>0</formula2>
    </dataValidation>
    <dataValidation allowBlank="true" error="Escribe un número igual o mayor que cero." errorStyle="stop" errorTitle="Solo números" operator="greaterThanOrEqual" prompt="Cuántas referencias distintas tiene el pedido. Sirve para comparar pedidos de tamaños distintos." promptTitle="Líneas" showDropDown="false" showErrorMessage="true" showInputMessage="true" sqref="D31:D90" type="decimal">
      <formula1>0</formula1>
      <formula2>0</formula2>
    </dataValidation>
    <dataValidation allowBlank="true" errorStyle="stop" operator="between" prompt="Cuando el pedido queda disponible para alistar, no cuando el cliente lo puso. Formato HH:MM." promptTitle="Hora de liberación" showDropDown="false" showErrorMessage="false" showInputMessage="true" sqref="E31:E90" type="none">
      <formula1>0</formula1>
      <formula2>0</formula2>
    </dataValidation>
    <dataValidation allowBlank="true" errorStyle="stop" operator="between" prompt="Cuando el operario toma la orden y arranca. Formato HH:MM." promptTitle="Inicio de alistamiento" showDropDown="false" showErrorMessage="false" showInputMessage="true" sqref="F31:F90" type="none">
      <formula1>0</formula1>
      <formula2>0</formula2>
    </dataValidation>
    <dataValidation allowBlank="true" errorStyle="stop" operator="between" prompt="Cuando el pedido queda completo, antes de chequeo. Formato HH:MM." promptTitle="Fin de alistamiento" showDropDown="false" showErrorMessage="false" showInputMessage="true" sqref="G31:G90" type="none">
      <formula1>0</formula1>
      <formula2>0</formula2>
    </dataValidation>
    <dataValidation allowBlank="true" errorStyle="stop" operator="between" prompt="Cuando queda verificado y rotulado. Si no hay chequeo aparte, déjala vacía." promptTitle="Fin de chequeo" showDropDown="false" showErrorMessage="false" showInputMessage="true" sqref="H31:H90" type="none">
      <formula1>0</formula1>
      <formula2>0</formula2>
    </dataValidation>
    <dataValidation allowBlank="true" errorStyle="stop" operator="between" prompt="Cuando el primer bulto sube al vehículo, no cuando el vehículo llega." promptTitle="Inicio de cargue" showDropDown="false" showErrorMessage="false" showInputMessage="true" sqref="I31:I90" type="none">
      <formula1>0</formula1>
      <formula2>0</formula2>
    </dataValidation>
    <dataValidation allowBlank="true" errorStyle="stop" operator="between" prompt="Cuando el vehículo sale de las instalaciones. Formato HH:MM." promptTitle="Salida del vehículo" showDropDown="false" showErrorMessage="false" showInputMessage="true" sqref="J31:J90" type="none">
      <formula1>0</formula1>
      <formula2>0</formula2>
    </dataValidation>
    <dataValidation allowBlank="true" errorStyle="stop" operator="between" prompt="Por qué esperó, si hubo reproceso, si faltó producto, si el vehículo llegó tarde." promptTitle="Observación" showDropDown="false" showErrorMessage="false" showInputMessage="true" sqref="S31:S90" type="non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6E00"/>
    <pageSetUpPr fitToPage="tru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0" topLeftCell="A4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4" min="3" style="0" width="24"/>
    <col collapsed="false" customWidth="true" hidden="false" outlineLevel="0" max="6" min="5" style="0" width="15"/>
    <col collapsed="false" customWidth="true" hidden="false" outlineLevel="0" max="7" min="7" style="0" width="34"/>
  </cols>
  <sheetData>
    <row r="1" customFormat="false" ht="25.5" hidden="false" customHeight="true" outlineLevel="0" collapsed="false">
      <c r="A1" s="19" t="s">
        <v>406</v>
      </c>
      <c r="B1" s="19"/>
      <c r="C1" s="19"/>
      <c r="D1" s="19"/>
      <c r="E1" s="19"/>
      <c r="F1" s="19"/>
      <c r="G1" s="19"/>
    </row>
    <row r="2" customFormat="false" ht="15.75" hidden="false" customHeight="true" outlineLevel="0" collapsed="false">
      <c r="A2" s="20" t="s">
        <v>407</v>
      </c>
      <c r="B2" s="20"/>
      <c r="C2" s="20"/>
      <c r="D2" s="20"/>
      <c r="E2" s="20"/>
      <c r="F2" s="20"/>
      <c r="G2" s="20"/>
    </row>
    <row r="4" customFormat="false" ht="18.75" hidden="false" customHeight="true" outlineLevel="0" collapsed="false">
      <c r="A4" s="4" t="s">
        <v>161</v>
      </c>
      <c r="B4" s="4"/>
      <c r="C4" s="4"/>
      <c r="D4" s="4"/>
      <c r="E4" s="4"/>
      <c r="F4" s="4"/>
      <c r="G4" s="4"/>
    </row>
    <row r="5" customFormat="false" ht="29.25" hidden="false" customHeight="true" outlineLevel="0" collapsed="false">
      <c r="A5" s="35" t="s">
        <v>162</v>
      </c>
      <c r="B5" s="36" t="s">
        <v>408</v>
      </c>
      <c r="C5" s="36"/>
      <c r="D5" s="36"/>
      <c r="E5" s="36"/>
      <c r="F5" s="36"/>
      <c r="G5" s="36"/>
    </row>
    <row r="6" customFormat="false" ht="16.5" hidden="false" customHeight="true" outlineLevel="0" collapsed="false">
      <c r="A6" s="35" t="s">
        <v>164</v>
      </c>
      <c r="B6" s="36" t="s">
        <v>409</v>
      </c>
      <c r="C6" s="36"/>
      <c r="D6" s="36"/>
      <c r="E6" s="36"/>
      <c r="F6" s="36"/>
      <c r="G6" s="36"/>
    </row>
    <row r="7" customFormat="false" ht="16.5" hidden="false" customHeight="true" outlineLevel="0" collapsed="false">
      <c r="A7" s="35" t="s">
        <v>166</v>
      </c>
      <c r="B7" s="36" t="s">
        <v>410</v>
      </c>
      <c r="C7" s="36"/>
      <c r="D7" s="36"/>
      <c r="E7" s="36"/>
      <c r="F7" s="36"/>
      <c r="G7" s="36"/>
    </row>
    <row r="8" customFormat="false" ht="16.5" hidden="false" customHeight="true" outlineLevel="0" collapsed="false">
      <c r="A8" s="35" t="s">
        <v>168</v>
      </c>
      <c r="B8" s="36" t="s">
        <v>411</v>
      </c>
      <c r="C8" s="36"/>
      <c r="D8" s="36"/>
      <c r="E8" s="36"/>
      <c r="F8" s="36"/>
      <c r="G8" s="36"/>
    </row>
    <row r="9" customFormat="false" ht="18.75" hidden="false" customHeight="true" outlineLevel="0" collapsed="false">
      <c r="A9" s="7" t="s">
        <v>170</v>
      </c>
      <c r="B9" s="7"/>
      <c r="C9" s="7"/>
      <c r="D9" s="7"/>
      <c r="E9" s="7"/>
      <c r="F9" s="7"/>
      <c r="G9" s="7"/>
    </row>
    <row r="10" customFormat="false" ht="29.25" hidden="false" customHeight="true" outlineLevel="0" collapsed="false">
      <c r="A10" s="37" t="s">
        <v>171</v>
      </c>
      <c r="B10" s="36" t="s">
        <v>412</v>
      </c>
      <c r="C10" s="36"/>
      <c r="D10" s="36"/>
      <c r="E10" s="36"/>
      <c r="F10" s="36"/>
      <c r="G10" s="36"/>
    </row>
    <row r="11" customFormat="false" ht="16.5" hidden="false" customHeight="true" outlineLevel="0" collapsed="false">
      <c r="A11" s="37" t="s">
        <v>173</v>
      </c>
      <c r="B11" s="36" t="s">
        <v>413</v>
      </c>
      <c r="C11" s="36"/>
      <c r="D11" s="36"/>
      <c r="E11" s="36"/>
      <c r="F11" s="36"/>
      <c r="G11" s="36"/>
    </row>
    <row r="12" customFormat="false" ht="16.5" hidden="false" customHeight="true" outlineLevel="0" collapsed="false">
      <c r="A12" s="37" t="s">
        <v>175</v>
      </c>
      <c r="B12" s="36" t="s">
        <v>414</v>
      </c>
      <c r="C12" s="36"/>
      <c r="D12" s="36"/>
      <c r="E12" s="36"/>
      <c r="F12" s="36"/>
      <c r="G12" s="36"/>
    </row>
    <row r="13" customFormat="false" ht="16.5" hidden="false" customHeight="true" outlineLevel="0" collapsed="false">
      <c r="A13" s="37" t="s">
        <v>177</v>
      </c>
      <c r="B13" s="36" t="s">
        <v>415</v>
      </c>
      <c r="C13" s="36"/>
      <c r="D13" s="36"/>
      <c r="E13" s="36"/>
      <c r="F13" s="36"/>
      <c r="G13" s="36"/>
    </row>
    <row r="14" customFormat="false" ht="16.5" hidden="false" customHeight="true" outlineLevel="0" collapsed="false">
      <c r="A14" s="37" t="s">
        <v>179</v>
      </c>
      <c r="B14" s="36" t="s">
        <v>416</v>
      </c>
      <c r="C14" s="36"/>
      <c r="D14" s="36"/>
      <c r="E14" s="36"/>
      <c r="F14" s="36"/>
      <c r="G14" s="36"/>
    </row>
    <row r="15" customFormat="false" ht="16.5" hidden="false" customHeight="true" outlineLevel="0" collapsed="false">
      <c r="A15" s="37" t="s">
        <v>181</v>
      </c>
      <c r="B15" s="36" t="s">
        <v>417</v>
      </c>
      <c r="C15" s="36"/>
      <c r="D15" s="36"/>
      <c r="E15" s="36"/>
      <c r="F15" s="36"/>
      <c r="G15" s="36"/>
    </row>
    <row r="16" customFormat="false" ht="18.75" hidden="false" customHeight="true" outlineLevel="0" collapsed="false">
      <c r="A16" s="7" t="s">
        <v>183</v>
      </c>
      <c r="B16" s="7"/>
      <c r="C16" s="7"/>
      <c r="D16" s="7"/>
      <c r="E16" s="7"/>
      <c r="F16" s="7"/>
      <c r="G16" s="7"/>
    </row>
    <row r="17" customFormat="false" ht="16.5" hidden="false" customHeight="true" outlineLevel="0" collapsed="false">
      <c r="A17" s="37" t="s">
        <v>184</v>
      </c>
      <c r="B17" s="36" t="s">
        <v>418</v>
      </c>
      <c r="C17" s="36"/>
      <c r="D17" s="36"/>
      <c r="E17" s="36"/>
      <c r="F17" s="36"/>
      <c r="G17" s="36"/>
    </row>
    <row r="18" customFormat="false" ht="16.5" hidden="false" customHeight="true" outlineLevel="0" collapsed="false">
      <c r="A18" s="37" t="s">
        <v>184</v>
      </c>
      <c r="B18" s="36" t="s">
        <v>419</v>
      </c>
      <c r="C18" s="36"/>
      <c r="D18" s="36"/>
      <c r="E18" s="36"/>
      <c r="F18" s="36"/>
      <c r="G18" s="36"/>
    </row>
    <row r="19" customFormat="false" ht="16.5" hidden="false" customHeight="true" outlineLevel="0" collapsed="false">
      <c r="A19" s="37" t="s">
        <v>184</v>
      </c>
      <c r="B19" s="36" t="s">
        <v>420</v>
      </c>
      <c r="C19" s="36"/>
      <c r="D19" s="36"/>
      <c r="E19" s="36"/>
      <c r="F19" s="36"/>
      <c r="G19" s="36"/>
    </row>
    <row r="20" customFormat="false" ht="16.5" hidden="false" customHeight="true" outlineLevel="0" collapsed="false">
      <c r="A20" s="37" t="s">
        <v>184</v>
      </c>
      <c r="B20" s="36" t="s">
        <v>421</v>
      </c>
      <c r="C20" s="36"/>
      <c r="D20" s="36"/>
      <c r="E20" s="36"/>
      <c r="F20" s="36"/>
      <c r="G20" s="36"/>
    </row>
    <row r="21" customFormat="false" ht="16.5" hidden="false" customHeight="true" outlineLevel="0" collapsed="false">
      <c r="A21" s="37" t="s">
        <v>184</v>
      </c>
      <c r="B21" s="36" t="s">
        <v>422</v>
      </c>
      <c r="C21" s="36"/>
      <c r="D21" s="36"/>
      <c r="E21" s="36"/>
      <c r="F21" s="36"/>
      <c r="G21" s="36"/>
    </row>
    <row r="22" customFormat="false" ht="18.75" hidden="false" customHeight="true" outlineLevel="0" collapsed="false">
      <c r="A22" s="38" t="s">
        <v>190</v>
      </c>
      <c r="B22" s="38"/>
      <c r="C22" s="38"/>
      <c r="D22" s="38"/>
      <c r="E22" s="38"/>
      <c r="F22" s="38"/>
      <c r="G22" s="38"/>
    </row>
    <row r="23" customFormat="false" ht="16.5" hidden="false" customHeight="true" outlineLevel="0" collapsed="false">
      <c r="A23" s="39" t="s">
        <v>191</v>
      </c>
      <c r="B23" s="36" t="s">
        <v>423</v>
      </c>
      <c r="C23" s="36"/>
      <c r="D23" s="36"/>
      <c r="E23" s="36"/>
      <c r="F23" s="36"/>
      <c r="G23" s="36"/>
    </row>
    <row r="24" customFormat="false" ht="16.5" hidden="false" customHeight="true" outlineLevel="0" collapsed="false">
      <c r="A24" s="39" t="s">
        <v>191</v>
      </c>
      <c r="B24" s="36" t="s">
        <v>424</v>
      </c>
      <c r="C24" s="36"/>
      <c r="D24" s="36"/>
      <c r="E24" s="36"/>
      <c r="F24" s="36"/>
      <c r="G24" s="36"/>
    </row>
    <row r="25" customFormat="false" ht="16.5" hidden="false" customHeight="true" outlineLevel="0" collapsed="false">
      <c r="A25" s="39" t="s">
        <v>191</v>
      </c>
      <c r="B25" s="36" t="s">
        <v>425</v>
      </c>
      <c r="C25" s="36"/>
      <c r="D25" s="36"/>
      <c r="E25" s="36"/>
      <c r="F25" s="36"/>
      <c r="G25" s="36"/>
    </row>
    <row r="26" customFormat="false" ht="16.5" hidden="false" customHeight="true" outlineLevel="0" collapsed="false">
      <c r="A26" s="39" t="s">
        <v>191</v>
      </c>
      <c r="B26" s="36" t="s">
        <v>426</v>
      </c>
      <c r="C26" s="36"/>
      <c r="D26" s="36"/>
      <c r="E26" s="36"/>
      <c r="F26" s="36"/>
      <c r="G26" s="36"/>
    </row>
    <row r="27" customFormat="false" ht="16.5" hidden="false" customHeight="true" outlineLevel="0" collapsed="false">
      <c r="A27" s="39" t="s">
        <v>191</v>
      </c>
      <c r="B27" s="36" t="s">
        <v>427</v>
      </c>
      <c r="C27" s="36"/>
      <c r="D27" s="36"/>
      <c r="E27" s="36"/>
      <c r="F27" s="36"/>
      <c r="G27" s="36"/>
    </row>
    <row r="29" customFormat="false" ht="18.75" hidden="false" customHeight="true" outlineLevel="0" collapsed="false">
      <c r="A29" s="4" t="s">
        <v>428</v>
      </c>
      <c r="B29" s="4"/>
      <c r="C29" s="4"/>
      <c r="D29" s="4"/>
      <c r="E29" s="4"/>
      <c r="F29" s="4"/>
      <c r="G29" s="4"/>
    </row>
    <row r="30" customFormat="false" ht="24" hidden="false" customHeight="true" outlineLevel="0" collapsed="false">
      <c r="A30" s="56" t="s">
        <v>429</v>
      </c>
      <c r="B30" s="56"/>
      <c r="C30" s="64" t="s">
        <v>430</v>
      </c>
      <c r="D30" s="64"/>
      <c r="E30" s="65" t="s">
        <v>431</v>
      </c>
      <c r="F30" s="65"/>
      <c r="G30" s="65"/>
    </row>
    <row r="32" customFormat="false" ht="21.75" hidden="false" customHeight="true" outlineLevel="0" collapsed="false">
      <c r="A32" s="8" t="s">
        <v>432</v>
      </c>
      <c r="B32" s="8"/>
      <c r="C32" s="8" t="s">
        <v>433</v>
      </c>
      <c r="D32" s="8"/>
      <c r="E32" s="8" t="s">
        <v>434</v>
      </c>
      <c r="F32" s="8"/>
      <c r="G32" s="8"/>
    </row>
    <row r="33" customFormat="false" ht="30" hidden="false" customHeight="true" outlineLevel="0" collapsed="false">
      <c r="A33" s="10" t="s">
        <v>435</v>
      </c>
      <c r="B33" s="10"/>
      <c r="C33" s="34"/>
      <c r="D33" s="34"/>
      <c r="E33" s="66" t="s">
        <v>436</v>
      </c>
      <c r="F33" s="66"/>
      <c r="G33" s="66"/>
    </row>
    <row r="34" customFormat="false" ht="30" hidden="false" customHeight="true" outlineLevel="0" collapsed="false">
      <c r="A34" s="10" t="s">
        <v>437</v>
      </c>
      <c r="B34" s="10"/>
      <c r="C34" s="34"/>
      <c r="D34" s="34"/>
      <c r="E34" s="66" t="s">
        <v>438</v>
      </c>
      <c r="F34" s="66"/>
      <c r="G34" s="66"/>
    </row>
    <row r="35" customFormat="false" ht="30" hidden="false" customHeight="true" outlineLevel="0" collapsed="false">
      <c r="A35" s="10" t="s">
        <v>425</v>
      </c>
      <c r="B35" s="10"/>
      <c r="C35" s="34"/>
      <c r="D35" s="34"/>
      <c r="E35" s="66" t="s">
        <v>439</v>
      </c>
      <c r="F35" s="66"/>
      <c r="G35" s="66"/>
    </row>
    <row r="36" customFormat="false" ht="30" hidden="false" customHeight="true" outlineLevel="0" collapsed="false">
      <c r="A36" s="10" t="s">
        <v>440</v>
      </c>
      <c r="B36" s="10"/>
      <c r="C36" s="34"/>
      <c r="D36" s="34"/>
      <c r="E36" s="66" t="s">
        <v>441</v>
      </c>
      <c r="F36" s="66"/>
      <c r="G36" s="66"/>
    </row>
    <row r="37" customFormat="false" ht="30" hidden="false" customHeight="true" outlineLevel="0" collapsed="false">
      <c r="A37" s="10" t="s">
        <v>442</v>
      </c>
      <c r="B37" s="10"/>
      <c r="C37" s="34"/>
      <c r="D37" s="34"/>
      <c r="E37" s="66" t="s">
        <v>443</v>
      </c>
      <c r="F37" s="66"/>
      <c r="G37" s="66"/>
    </row>
    <row r="39" customFormat="false" ht="18.75" hidden="false" customHeight="true" outlineLevel="0" collapsed="false">
      <c r="A39" s="4" t="s">
        <v>444</v>
      </c>
      <c r="B39" s="4"/>
      <c r="C39" s="4"/>
      <c r="D39" s="4"/>
      <c r="E39" s="4"/>
      <c r="F39" s="4"/>
      <c r="G39" s="4"/>
    </row>
    <row r="40" customFormat="false" ht="33.75" hidden="false" customHeight="true" outlineLevel="0" collapsed="false">
      <c r="A40" s="8" t="s">
        <v>378</v>
      </c>
      <c r="B40" s="8" t="s">
        <v>445</v>
      </c>
      <c r="C40" s="8" t="s">
        <v>446</v>
      </c>
      <c r="D40" s="8" t="s">
        <v>447</v>
      </c>
      <c r="E40" s="8" t="s">
        <v>448</v>
      </c>
      <c r="F40" s="8" t="s">
        <v>449</v>
      </c>
      <c r="G40" s="8" t="s">
        <v>116</v>
      </c>
    </row>
    <row r="41" customFormat="false" ht="24" hidden="false" customHeight="true" outlineLevel="0" collapsed="false">
      <c r="A41" s="40" t="s">
        <v>394</v>
      </c>
      <c r="B41" s="40" t="s">
        <v>450</v>
      </c>
      <c r="C41" s="40" t="n">
        <v>3</v>
      </c>
      <c r="D41" s="40" t="n">
        <v>9</v>
      </c>
      <c r="E41" s="40" t="n">
        <f aca="false">IF(OR($C41="",$D41=""),"",ABS($D41-$C41))</f>
        <v>6</v>
      </c>
      <c r="F41" s="40" t="s">
        <v>265</v>
      </c>
      <c r="G41" s="40" t="s">
        <v>451</v>
      </c>
    </row>
    <row r="42" customFormat="false" ht="18" hidden="false" customHeight="true" outlineLevel="0" collapsed="false">
      <c r="A42" s="34"/>
      <c r="B42" s="33"/>
      <c r="C42" s="33"/>
      <c r="D42" s="33"/>
      <c r="E42" s="42" t="str">
        <f aca="false">IF(OR($C42="",$D42=""),"",ABS($D42-$C42))</f>
        <v/>
      </c>
      <c r="F42" s="33"/>
      <c r="G42" s="34"/>
    </row>
    <row r="43" customFormat="false" ht="18" hidden="false" customHeight="true" outlineLevel="0" collapsed="false">
      <c r="A43" s="34"/>
      <c r="B43" s="33"/>
      <c r="C43" s="33"/>
      <c r="D43" s="33"/>
      <c r="E43" s="42" t="str">
        <f aca="false">IF(OR($C43="",$D43=""),"",ABS($D43-$C43))</f>
        <v/>
      </c>
      <c r="F43" s="33"/>
      <c r="G43" s="34"/>
    </row>
    <row r="44" customFormat="false" ht="18" hidden="false" customHeight="true" outlineLevel="0" collapsed="false">
      <c r="A44" s="34"/>
      <c r="B44" s="33"/>
      <c r="C44" s="33"/>
      <c r="D44" s="33"/>
      <c r="E44" s="42" t="str">
        <f aca="false">IF(OR($C44="",$D44=""),"",ABS($D44-$C44))</f>
        <v/>
      </c>
      <c r="F44" s="33"/>
      <c r="G44" s="34"/>
    </row>
    <row r="45" customFormat="false" ht="18" hidden="false" customHeight="true" outlineLevel="0" collapsed="false">
      <c r="A45" s="34"/>
      <c r="B45" s="33"/>
      <c r="C45" s="33"/>
      <c r="D45" s="33"/>
      <c r="E45" s="42" t="str">
        <f aca="false">IF(OR($C45="",$D45=""),"",ABS($D45-$C45))</f>
        <v/>
      </c>
      <c r="F45" s="33"/>
      <c r="G45" s="34"/>
    </row>
    <row r="46" customFormat="false" ht="18" hidden="false" customHeight="true" outlineLevel="0" collapsed="false">
      <c r="A46" s="34"/>
      <c r="B46" s="33"/>
      <c r="C46" s="33"/>
      <c r="D46" s="33"/>
      <c r="E46" s="42" t="str">
        <f aca="false">IF(OR($C46="",$D46=""),"",ABS($D46-$C46))</f>
        <v/>
      </c>
      <c r="F46" s="33"/>
      <c r="G46" s="34"/>
    </row>
    <row r="47" customFormat="false" ht="18" hidden="false" customHeight="true" outlineLevel="0" collapsed="false">
      <c r="A47" s="34"/>
      <c r="B47" s="33"/>
      <c r="C47" s="33"/>
      <c r="D47" s="33"/>
      <c r="E47" s="42" t="str">
        <f aca="false">IF(OR($C47="",$D47=""),"",ABS($D47-$C47))</f>
        <v/>
      </c>
      <c r="F47" s="33"/>
      <c r="G47" s="34"/>
    </row>
    <row r="48" customFormat="false" ht="18" hidden="false" customHeight="true" outlineLevel="0" collapsed="false">
      <c r="A48" s="34"/>
      <c r="B48" s="33"/>
      <c r="C48" s="33"/>
      <c r="D48" s="33"/>
      <c r="E48" s="42" t="str">
        <f aca="false">IF(OR($C48="",$D48=""),"",ABS($D48-$C48))</f>
        <v/>
      </c>
      <c r="F48" s="33"/>
      <c r="G48" s="34"/>
    </row>
    <row r="49" customFormat="false" ht="18" hidden="false" customHeight="true" outlineLevel="0" collapsed="false">
      <c r="A49" s="34"/>
      <c r="B49" s="33"/>
      <c r="C49" s="33"/>
      <c r="D49" s="33"/>
      <c r="E49" s="42" t="str">
        <f aca="false">IF(OR($C49="",$D49=""),"",ABS($D49-$C49))</f>
        <v/>
      </c>
      <c r="F49" s="33"/>
      <c r="G49" s="34"/>
    </row>
    <row r="50" customFormat="false" ht="18" hidden="false" customHeight="true" outlineLevel="0" collapsed="false">
      <c r="A50" s="34"/>
      <c r="B50" s="33"/>
      <c r="C50" s="33"/>
      <c r="D50" s="33"/>
      <c r="E50" s="42" t="str">
        <f aca="false">IF(OR($C50="",$D50=""),"",ABS($D50-$C50))</f>
        <v/>
      </c>
      <c r="F50" s="33"/>
      <c r="G50" s="34"/>
    </row>
    <row r="51" customFormat="false" ht="18" hidden="false" customHeight="true" outlineLevel="0" collapsed="false">
      <c r="A51" s="34"/>
      <c r="B51" s="33"/>
      <c r="C51" s="33"/>
      <c r="D51" s="33"/>
      <c r="E51" s="42" t="str">
        <f aca="false">IF(OR($C51="",$D51=""),"",ABS($D51-$C51))</f>
        <v/>
      </c>
      <c r="F51" s="33"/>
      <c r="G51" s="34"/>
    </row>
    <row r="52" customFormat="false" ht="18" hidden="false" customHeight="true" outlineLevel="0" collapsed="false">
      <c r="A52" s="34"/>
      <c r="B52" s="33"/>
      <c r="C52" s="33"/>
      <c r="D52" s="33"/>
      <c r="E52" s="42" t="str">
        <f aca="false">IF(OR($C52="",$D52=""),"",ABS($D52-$C52))</f>
        <v/>
      </c>
      <c r="F52" s="33"/>
      <c r="G52" s="34"/>
    </row>
    <row r="53" customFormat="false" ht="18" hidden="false" customHeight="true" outlineLevel="0" collapsed="false">
      <c r="A53" s="34"/>
      <c r="B53" s="33"/>
      <c r="C53" s="33"/>
      <c r="D53" s="33"/>
      <c r="E53" s="42" t="str">
        <f aca="false">IF(OR($C53="",$D53=""),"",ABS($D53-$C53))</f>
        <v/>
      </c>
      <c r="F53" s="33"/>
      <c r="G53" s="34"/>
    </row>
    <row r="54" customFormat="false" ht="18" hidden="false" customHeight="true" outlineLevel="0" collapsed="false">
      <c r="A54" s="34"/>
      <c r="B54" s="33"/>
      <c r="C54" s="33"/>
      <c r="D54" s="33"/>
      <c r="E54" s="42" t="str">
        <f aca="false">IF(OR($C54="",$D54=""),"",ABS($D54-$C54))</f>
        <v/>
      </c>
      <c r="F54" s="33"/>
      <c r="G54" s="34"/>
    </row>
    <row r="55" customFormat="false" ht="18" hidden="false" customHeight="true" outlineLevel="0" collapsed="false">
      <c r="A55" s="34"/>
      <c r="B55" s="33"/>
      <c r="C55" s="33"/>
      <c r="D55" s="33"/>
      <c r="E55" s="42" t="str">
        <f aca="false">IF(OR($C55="",$D55=""),"",ABS($D55-$C55))</f>
        <v/>
      </c>
      <c r="F55" s="33"/>
      <c r="G55" s="34"/>
    </row>
    <row r="56" customFormat="false" ht="18" hidden="false" customHeight="true" outlineLevel="0" collapsed="false">
      <c r="A56" s="34"/>
      <c r="B56" s="33"/>
      <c r="C56" s="33"/>
      <c r="D56" s="33"/>
      <c r="E56" s="42" t="str">
        <f aca="false">IF(OR($C56="",$D56=""),"",ABS($D56-$C56))</f>
        <v/>
      </c>
      <c r="F56" s="33"/>
      <c r="G56" s="34"/>
    </row>
    <row r="57" customFormat="false" ht="18" hidden="false" customHeight="true" outlineLevel="0" collapsed="false">
      <c r="A57" s="34"/>
      <c r="B57" s="33"/>
      <c r="C57" s="33"/>
      <c r="D57" s="33"/>
      <c r="E57" s="42" t="str">
        <f aca="false">IF(OR($C57="",$D57=""),"",ABS($D57-$C57))</f>
        <v/>
      </c>
      <c r="F57" s="33"/>
      <c r="G57" s="34"/>
    </row>
    <row r="58" customFormat="false" ht="18" hidden="false" customHeight="true" outlineLevel="0" collapsed="false">
      <c r="A58" s="34"/>
      <c r="B58" s="33"/>
      <c r="C58" s="33"/>
      <c r="D58" s="33"/>
      <c r="E58" s="42" t="str">
        <f aca="false">IF(OR($C58="",$D58=""),"",ABS($D58-$C58))</f>
        <v/>
      </c>
      <c r="F58" s="33"/>
      <c r="G58" s="34"/>
    </row>
    <row r="59" customFormat="false" ht="18" hidden="false" customHeight="true" outlineLevel="0" collapsed="false">
      <c r="A59" s="34"/>
      <c r="B59" s="33"/>
      <c r="C59" s="33"/>
      <c r="D59" s="33"/>
      <c r="E59" s="42" t="str">
        <f aca="false">IF(OR($C59="",$D59=""),"",ABS($D59-$C59))</f>
        <v/>
      </c>
      <c r="F59" s="33"/>
      <c r="G59" s="34"/>
    </row>
    <row r="60" customFormat="false" ht="18" hidden="false" customHeight="true" outlineLevel="0" collapsed="false">
      <c r="A60" s="34"/>
      <c r="B60" s="33"/>
      <c r="C60" s="33"/>
      <c r="D60" s="33"/>
      <c r="E60" s="42" t="str">
        <f aca="false">IF(OR($C60="",$D60=""),"",ABS($D60-$C60))</f>
        <v/>
      </c>
      <c r="F60" s="33"/>
      <c r="G60" s="34"/>
    </row>
    <row r="61" customFormat="false" ht="18" hidden="false" customHeight="true" outlineLevel="0" collapsed="false">
      <c r="A61" s="34"/>
      <c r="B61" s="33"/>
      <c r="C61" s="33"/>
      <c r="D61" s="33"/>
      <c r="E61" s="42" t="str">
        <f aca="false">IF(OR($C61="",$D61=""),"",ABS($D61-$C61))</f>
        <v/>
      </c>
      <c r="F61" s="33"/>
      <c r="G61" s="34"/>
    </row>
    <row r="62" customFormat="false" ht="24" hidden="false" customHeight="true" outlineLevel="0" collapsed="false">
      <c r="A62" s="44" t="s">
        <v>452</v>
      </c>
      <c r="B62" s="45"/>
      <c r="C62" s="45" t="str">
        <f aca="false">IF(COUNT($E$42:$E$61)=0,"",COUNT($E$42:$E$61))</f>
        <v/>
      </c>
      <c r="D62" s="58" t="s">
        <v>453</v>
      </c>
      <c r="E62" s="46" t="str">
        <f aca="false">IF(COUNT($E$42:$E$61)=0,"",COUNTIF($E$42:$E$61,"&gt;2")/COUNT($E$42:$E$61))</f>
        <v/>
      </c>
      <c r="F62" s="46" t="str">
        <f aca="false">IF((COUNTIF($F$42:$F$61,"Sí")+COUNTIF($F$42:$F$61,"No"))=0,"",COUNTIF($F$42:$F$61,"Sí")/(COUNTIF($F$42:$F$61,"Sí")+COUNTIF($F$42:$F$61,"No")))</f>
        <v/>
      </c>
      <c r="G62" s="45"/>
    </row>
    <row r="64" customFormat="false" ht="43.5" hidden="false" customHeight="true" outlineLevel="0" collapsed="false">
      <c r="A64" s="18" t="s">
        <v>454</v>
      </c>
      <c r="B64" s="18"/>
      <c r="C64" s="18"/>
      <c r="D64" s="18"/>
      <c r="E64" s="18"/>
      <c r="F64" s="18"/>
      <c r="G64" s="18"/>
    </row>
  </sheetData>
  <mergeCells count="50">
    <mergeCell ref="A1:G1"/>
    <mergeCell ref="A2:G2"/>
    <mergeCell ref="A4:G4"/>
    <mergeCell ref="B5:G5"/>
    <mergeCell ref="B6:G6"/>
    <mergeCell ref="B7:G7"/>
    <mergeCell ref="B8:G8"/>
    <mergeCell ref="A9:G9"/>
    <mergeCell ref="B10:G10"/>
    <mergeCell ref="B11:G11"/>
    <mergeCell ref="B12:G12"/>
    <mergeCell ref="B13:G13"/>
    <mergeCell ref="B14:G14"/>
    <mergeCell ref="B15:G15"/>
    <mergeCell ref="A16:G16"/>
    <mergeCell ref="B17:G17"/>
    <mergeCell ref="B18:G18"/>
    <mergeCell ref="B19:G19"/>
    <mergeCell ref="B20:G20"/>
    <mergeCell ref="B21:G21"/>
    <mergeCell ref="A22:G22"/>
    <mergeCell ref="B23:G23"/>
    <mergeCell ref="B24:G24"/>
    <mergeCell ref="B25:G25"/>
    <mergeCell ref="B26:G26"/>
    <mergeCell ref="B27:G27"/>
    <mergeCell ref="A29:G29"/>
    <mergeCell ref="A30:B30"/>
    <mergeCell ref="C30:D30"/>
    <mergeCell ref="E30:G30"/>
    <mergeCell ref="A32:B32"/>
    <mergeCell ref="C32:D32"/>
    <mergeCell ref="E32:G32"/>
    <mergeCell ref="A33:B33"/>
    <mergeCell ref="C33:D33"/>
    <mergeCell ref="E33:G33"/>
    <mergeCell ref="A34:B34"/>
    <mergeCell ref="C34:D34"/>
    <mergeCell ref="E34:G34"/>
    <mergeCell ref="A35:B35"/>
    <mergeCell ref="C35:D35"/>
    <mergeCell ref="E35:G35"/>
    <mergeCell ref="A36:B36"/>
    <mergeCell ref="C36:D36"/>
    <mergeCell ref="E36:G36"/>
    <mergeCell ref="A37:B37"/>
    <mergeCell ref="C37:D37"/>
    <mergeCell ref="E37:G37"/>
    <mergeCell ref="A39:G39"/>
    <mergeCell ref="A64:G64"/>
  </mergeCells>
  <conditionalFormatting sqref="E42:E61">
    <cfRule type="cellIs" priority="2" operator="greaterThan" aboveAverage="0" equalAverage="0" bottom="0" percent="0" rank="0" text="" dxfId="0">
      <formula>2</formula>
    </cfRule>
  </conditionalFormatting>
  <conditionalFormatting sqref="E62">
    <cfRule type="cellIs" priority="3" operator="greaterThan" aboveAverage="0" equalAverage="0" bottom="0" percent="0" rank="0" text="" dxfId="4">
      <formula>0.25</formula>
    </cfRule>
  </conditionalFormatting>
  <dataValidations count="7">
    <dataValidation allowBlank="true" error="Elige una de la lista." errorStyle="stop" errorTitle="Opción no válida" operator="between" prompt="Citas = cada vehículo tiene hora asignada. Corte único = todo sale tras un corte común. Mixto = algunas rutas con cita." promptTitle="Esquema de programación" showDropDown="false" showErrorMessage="false" showInputMessage="true" sqref="C30" type="list">
      <formula1>"Citas por ruta,Corte único,Mixto,Por definir"</formula1>
      <formula2>0</formula2>
    </dataValidation>
    <dataValidation allowBlank="true" errorStyle="stop" operator="between" prompt="Escribe la respuesta textual, no tu interpretación. Las palabras exactas valen más después." promptTitle="Respuesta" showDropDown="false" showErrorMessage="false" showInputMessage="true" sqref="C33:C37" type="none">
      <formula1>0</formula1>
      <formula2>0</formula2>
    </dataValidation>
    <dataValidation allowBlank="true" error="Elige una de la lista." errorStyle="stop" errorTitle="Opción no válida" operator="between" prompt="Sí = el pedido salió dentro de su cita o antes del corte que le aplicaba." promptTitle="¿Salió a tiempo?" showDropDown="false" showErrorMessage="false" showInputMessage="true" sqref="F42:F61" type="list">
      <formula1>"Sí,No"</formula1>
      <formula2>0</formula2>
    </dataValidation>
    <dataValidation allowBlank="true" errorStyle="stop" operator="between" prompt="El mismo número que usaste en la hoja 6." promptTitle="Pedido" showDropDown="false" showErrorMessage="false" showInputMessage="true" sqref="A42:A61" type="none">
      <formula1>0</formula1>
      <formula2>0</formula2>
    </dataValidation>
    <dataValidation allowBlank="true" errorStyle="stop" operator="between" prompt="La hora contra la cual debía salir. Formato HH:MM." promptTitle="Hora de cita o corte" showDropDown="false" showErrorMessage="false" showInputMessage="true" sqref="B42:B61" type="none">
      <formula1>0</formula1>
      <formula2>0</formula2>
    </dataValidation>
    <dataValidation allowBlank="true" error="Escribe un número igual o mayor que cero." errorStyle="stop" errorTitle="Solo números" operator="greaterThanOrEqual" prompt="Ordena los pedidos por su hora de cita o corte: el primero en salir es el 1." promptTitle="Orden que le correspondía" showDropDown="false" showErrorMessage="true" showInputMessage="true" sqref="C42:C61" type="decimal">
      <formula1>0</formula1>
      <formula2>0</formula2>
    </dataValidation>
    <dataValidation allowBlank="true" error="Escribe un número igual o mayor que cero." errorStyle="stop" errorTitle="Solo números" operator="greaterThanOrEqual" prompt="Ordena por la hora de fin de alistamiento de la hoja 6: el primero alistado es el 1." promptTitle="Orden real" showDropDown="false" showErrorMessage="true" showInputMessage="true" sqref="D42:D6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6E00"/>
    <pageSetUpPr fitToPage="tru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2" topLeftCell="A3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17"/>
    <col collapsed="false" customWidth="true" hidden="false" outlineLevel="0" max="7" min="5" style="0" width="12"/>
    <col collapsed="false" customWidth="true" hidden="false" outlineLevel="0" max="8" min="8" style="0" width="17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7"/>
    <col collapsed="false" customWidth="true" hidden="false" outlineLevel="0" max="12" min="12" style="0" width="16"/>
    <col collapsed="false" customWidth="true" hidden="false" outlineLevel="0" max="13" min="13" style="0" width="26"/>
  </cols>
  <sheetData>
    <row r="1" customFormat="false" ht="25.5" hidden="false" customHeight="true" outlineLevel="0" collapsed="false">
      <c r="A1" s="19" t="s">
        <v>455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customFormat="false" ht="15.75" hidden="false" customHeight="true" outlineLevel="0" collapsed="false">
      <c r="A2" s="20" t="s">
        <v>456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4" customFormat="false" ht="18.75" hidden="false" customHeight="true" outlineLevel="0" collapsed="false">
      <c r="A4" s="4" t="s">
        <v>161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customFormat="false" ht="16.5" hidden="false" customHeight="true" outlineLevel="0" collapsed="false">
      <c r="A5" s="35" t="s">
        <v>162</v>
      </c>
      <c r="B5" s="36" t="s">
        <v>457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</row>
    <row r="6" customFormat="false" ht="16.5" hidden="false" customHeight="true" outlineLevel="0" collapsed="false">
      <c r="A6" s="35" t="s">
        <v>164</v>
      </c>
      <c r="B6" s="36" t="s">
        <v>458</v>
      </c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</row>
    <row r="7" customFormat="false" ht="16.5" hidden="false" customHeight="true" outlineLevel="0" collapsed="false">
      <c r="A7" s="35" t="s">
        <v>166</v>
      </c>
      <c r="B7" s="36" t="s">
        <v>459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</row>
    <row r="8" customFormat="false" ht="16.5" hidden="false" customHeight="true" outlineLevel="0" collapsed="false">
      <c r="A8" s="35" t="s">
        <v>168</v>
      </c>
      <c r="B8" s="36" t="s">
        <v>460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</row>
    <row r="9" customFormat="false" ht="18.75" hidden="false" customHeight="true" outlineLevel="0" collapsed="false">
      <c r="A9" s="7" t="s">
        <v>170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</row>
    <row r="10" customFormat="false" ht="16.5" hidden="false" customHeight="true" outlineLevel="0" collapsed="false">
      <c r="A10" s="37" t="s">
        <v>171</v>
      </c>
      <c r="B10" s="36" t="s">
        <v>461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</row>
    <row r="11" customFormat="false" ht="16.5" hidden="false" customHeight="true" outlineLevel="0" collapsed="false">
      <c r="A11" s="37" t="s">
        <v>173</v>
      </c>
      <c r="B11" s="36" t="s">
        <v>462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</row>
    <row r="12" customFormat="false" ht="16.5" hidden="false" customHeight="true" outlineLevel="0" collapsed="false">
      <c r="A12" s="37" t="s">
        <v>175</v>
      </c>
      <c r="B12" s="36" t="s">
        <v>463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</row>
    <row r="13" customFormat="false" ht="16.5" hidden="false" customHeight="true" outlineLevel="0" collapsed="false">
      <c r="A13" s="37" t="s">
        <v>177</v>
      </c>
      <c r="B13" s="36" t="s">
        <v>464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</row>
    <row r="14" customFormat="false" ht="16.5" hidden="false" customHeight="true" outlineLevel="0" collapsed="false">
      <c r="A14" s="37" t="s">
        <v>179</v>
      </c>
      <c r="B14" s="36" t="s">
        <v>465</v>
      </c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</row>
    <row r="15" customFormat="false" ht="18.75" hidden="false" customHeight="true" outlineLevel="0" collapsed="false">
      <c r="A15" s="7" t="s">
        <v>183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6.5" hidden="false" customHeight="true" outlineLevel="0" collapsed="false">
      <c r="A16" s="37" t="s">
        <v>184</v>
      </c>
      <c r="B16" s="36" t="s">
        <v>466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</row>
    <row r="17" customFormat="false" ht="16.5" hidden="false" customHeight="true" outlineLevel="0" collapsed="false">
      <c r="A17" s="37" t="s">
        <v>184</v>
      </c>
      <c r="B17" s="36" t="s">
        <v>467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</row>
    <row r="18" customFormat="false" ht="16.5" hidden="false" customHeight="true" outlineLevel="0" collapsed="false">
      <c r="A18" s="37" t="s">
        <v>184</v>
      </c>
      <c r="B18" s="36" t="s">
        <v>468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</row>
    <row r="19" customFormat="false" ht="16.5" hidden="false" customHeight="true" outlineLevel="0" collapsed="false">
      <c r="A19" s="37" t="s">
        <v>184</v>
      </c>
      <c r="B19" s="36" t="s">
        <v>469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</row>
    <row r="20" customFormat="false" ht="16.5" hidden="false" customHeight="true" outlineLevel="0" collapsed="false">
      <c r="A20" s="37" t="s">
        <v>184</v>
      </c>
      <c r="B20" s="36" t="s">
        <v>470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</row>
    <row r="21" customFormat="false" ht="16.5" hidden="false" customHeight="true" outlineLevel="0" collapsed="false">
      <c r="A21" s="37" t="s">
        <v>184</v>
      </c>
      <c r="B21" s="36" t="s">
        <v>471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</row>
    <row r="22" customFormat="false" ht="18.75" hidden="false" customHeight="true" outlineLevel="0" collapsed="false">
      <c r="A22" s="38" t="s">
        <v>190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</row>
    <row r="23" customFormat="false" ht="16.5" hidden="false" customHeight="true" outlineLevel="0" collapsed="false">
      <c r="A23" s="39" t="s">
        <v>191</v>
      </c>
      <c r="B23" s="36" t="s">
        <v>472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</row>
    <row r="24" customFormat="false" ht="16.5" hidden="false" customHeight="true" outlineLevel="0" collapsed="false">
      <c r="A24" s="39" t="s">
        <v>191</v>
      </c>
      <c r="B24" s="36" t="s">
        <v>473</v>
      </c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</row>
    <row r="25" customFormat="false" ht="16.5" hidden="false" customHeight="true" outlineLevel="0" collapsed="false">
      <c r="A25" s="39" t="s">
        <v>191</v>
      </c>
      <c r="B25" s="36" t="s">
        <v>474</v>
      </c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</row>
    <row r="26" customFormat="false" ht="16.5" hidden="false" customHeight="true" outlineLevel="0" collapsed="false">
      <c r="A26" s="39" t="s">
        <v>191</v>
      </c>
      <c r="B26" s="36" t="s">
        <v>475</v>
      </c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</row>
    <row r="27" customFormat="false" ht="16.5" hidden="false" customHeight="true" outlineLevel="0" collapsed="false">
      <c r="A27" s="39" t="s">
        <v>191</v>
      </c>
      <c r="B27" s="36" t="s">
        <v>476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</row>
    <row r="28" customFormat="false" ht="16.5" hidden="false" customHeight="true" outlineLevel="0" collapsed="false">
      <c r="A28" s="39" t="s">
        <v>191</v>
      </c>
      <c r="B28" s="36" t="s">
        <v>477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</row>
    <row r="30" customFormat="false" ht="21.75" hidden="false" customHeight="true" outlineLevel="0" collapsed="false">
      <c r="A30" s="67" t="s">
        <v>478</v>
      </c>
      <c r="B30" s="67"/>
      <c r="C30" s="68"/>
      <c r="D30" s="67" t="s">
        <v>479</v>
      </c>
      <c r="E30" s="67"/>
      <c r="F30" s="68"/>
    </row>
    <row r="32" customFormat="false" ht="39.75" hidden="false" customHeight="true" outlineLevel="0" collapsed="false">
      <c r="A32" s="8" t="s">
        <v>480</v>
      </c>
      <c r="B32" s="8" t="s">
        <v>481</v>
      </c>
      <c r="C32" s="8" t="s">
        <v>482</v>
      </c>
      <c r="D32" s="8" t="s">
        <v>483</v>
      </c>
      <c r="E32" s="8" t="s">
        <v>484</v>
      </c>
      <c r="F32" s="8" t="s">
        <v>485</v>
      </c>
      <c r="G32" s="8" t="s">
        <v>390</v>
      </c>
      <c r="H32" s="8" t="s">
        <v>486</v>
      </c>
      <c r="I32" s="8" t="s">
        <v>487</v>
      </c>
      <c r="J32" s="8" t="s">
        <v>488</v>
      </c>
      <c r="K32" s="8" t="s">
        <v>489</v>
      </c>
      <c r="L32" s="8" t="s">
        <v>490</v>
      </c>
      <c r="M32" s="8" t="s">
        <v>116</v>
      </c>
    </row>
    <row r="33" customFormat="false" ht="24" hidden="false" customHeight="true" outlineLevel="0" collapsed="false">
      <c r="A33" s="40" t="s">
        <v>491</v>
      </c>
      <c r="B33" s="40" t="s">
        <v>492</v>
      </c>
      <c r="C33" s="40" t="s">
        <v>493</v>
      </c>
      <c r="D33" s="40" t="s">
        <v>494</v>
      </c>
      <c r="E33" s="40" t="s">
        <v>495</v>
      </c>
      <c r="F33" s="40" t="n">
        <f aca="false">IF(OR($C33="",$D33=""),"",($D33-$C33)*1440)</f>
        <v>85</v>
      </c>
      <c r="G33" s="40" t="n">
        <f aca="false">IF(OR($D33="",$E33=""),"",($E33-$D33)*1440)</f>
        <v>75.0000000000001</v>
      </c>
      <c r="H33" s="40" t="n">
        <f aca="false">IF(OR($C33="",$E33=""),"",($E33-$C33)*1440)</f>
        <v>160</v>
      </c>
      <c r="I33" s="40" t="n">
        <v>24</v>
      </c>
      <c r="J33" s="40" t="n">
        <v>2</v>
      </c>
      <c r="K33" s="48" t="n">
        <f aca="false">IF(OR($G33="",$G33=0,$I33="",$J33="",$J33=0),"",$I33/(($G33/60)*$J33))</f>
        <v>9.59999999999999</v>
      </c>
      <c r="L33" s="40" t="s">
        <v>265</v>
      </c>
      <c r="M33" s="40" t="s">
        <v>496</v>
      </c>
    </row>
    <row r="34" customFormat="false" ht="16.5" hidden="false" customHeight="true" outlineLevel="0" collapsed="false">
      <c r="A34" s="34"/>
      <c r="B34" s="34"/>
      <c r="C34" s="62"/>
      <c r="D34" s="62"/>
      <c r="E34" s="62"/>
      <c r="F34" s="60" t="str">
        <f aca="false">IF(OR($C34="",$D34=""),"",($D34-$C34)*1440)</f>
        <v/>
      </c>
      <c r="G34" s="60" t="str">
        <f aca="false">IF(OR($D34="",$E34=""),"",($E34-$D34)*1440)</f>
        <v/>
      </c>
      <c r="H34" s="60" t="str">
        <f aca="false">IF(OR($C34="",$E34=""),"",($E34-$C34)*1440)</f>
        <v/>
      </c>
      <c r="I34" s="33"/>
      <c r="J34" s="33"/>
      <c r="K34" s="49" t="str">
        <f aca="false">IF(OR($G34="",$G34=0,$I34="",$J34="",$J34=0),"",$I34/(($G34/60)*$J34))</f>
        <v/>
      </c>
      <c r="L34" s="33"/>
      <c r="M34" s="34"/>
    </row>
    <row r="35" customFormat="false" ht="16.5" hidden="false" customHeight="true" outlineLevel="0" collapsed="false">
      <c r="A35" s="34"/>
      <c r="B35" s="34"/>
      <c r="C35" s="62"/>
      <c r="D35" s="62"/>
      <c r="E35" s="62"/>
      <c r="F35" s="60" t="str">
        <f aca="false">IF(OR($C35="",$D35=""),"",($D35-$C35)*1440)</f>
        <v/>
      </c>
      <c r="G35" s="60" t="str">
        <f aca="false">IF(OR($D35="",$E35=""),"",($E35-$D35)*1440)</f>
        <v/>
      </c>
      <c r="H35" s="60" t="str">
        <f aca="false">IF(OR($C35="",$E35=""),"",($E35-$C35)*1440)</f>
        <v/>
      </c>
      <c r="I35" s="33"/>
      <c r="J35" s="33"/>
      <c r="K35" s="49" t="str">
        <f aca="false">IF(OR($G35="",$G35=0,$I35="",$J35="",$J35=0),"",$I35/(($G35/60)*$J35))</f>
        <v/>
      </c>
      <c r="L35" s="33"/>
      <c r="M35" s="34"/>
    </row>
    <row r="36" customFormat="false" ht="16.5" hidden="false" customHeight="true" outlineLevel="0" collapsed="false">
      <c r="A36" s="34"/>
      <c r="B36" s="34"/>
      <c r="C36" s="62"/>
      <c r="D36" s="62"/>
      <c r="E36" s="62"/>
      <c r="F36" s="60" t="str">
        <f aca="false">IF(OR($C36="",$D36=""),"",($D36-$C36)*1440)</f>
        <v/>
      </c>
      <c r="G36" s="60" t="str">
        <f aca="false">IF(OR($D36="",$E36=""),"",($E36-$D36)*1440)</f>
        <v/>
      </c>
      <c r="H36" s="60" t="str">
        <f aca="false">IF(OR($C36="",$E36=""),"",($E36-$C36)*1440)</f>
        <v/>
      </c>
      <c r="I36" s="33"/>
      <c r="J36" s="33"/>
      <c r="K36" s="49" t="str">
        <f aca="false">IF(OR($G36="",$G36=0,$I36="",$J36="",$J36=0),"",$I36/(($G36/60)*$J36))</f>
        <v/>
      </c>
      <c r="L36" s="33"/>
      <c r="M36" s="34"/>
    </row>
    <row r="37" customFormat="false" ht="16.5" hidden="false" customHeight="true" outlineLevel="0" collapsed="false">
      <c r="A37" s="34"/>
      <c r="B37" s="34"/>
      <c r="C37" s="62"/>
      <c r="D37" s="62"/>
      <c r="E37" s="62"/>
      <c r="F37" s="60" t="str">
        <f aca="false">IF(OR($C37="",$D37=""),"",($D37-$C37)*1440)</f>
        <v/>
      </c>
      <c r="G37" s="60" t="str">
        <f aca="false">IF(OR($D37="",$E37=""),"",($E37-$D37)*1440)</f>
        <v/>
      </c>
      <c r="H37" s="60" t="str">
        <f aca="false">IF(OR($C37="",$E37=""),"",($E37-$C37)*1440)</f>
        <v/>
      </c>
      <c r="I37" s="33"/>
      <c r="J37" s="33"/>
      <c r="K37" s="49" t="str">
        <f aca="false">IF(OR($G37="",$G37=0,$I37="",$J37="",$J37=0),"",$I37/(($G37/60)*$J37))</f>
        <v/>
      </c>
      <c r="L37" s="33"/>
      <c r="M37" s="34"/>
    </row>
    <row r="38" customFormat="false" ht="16.5" hidden="false" customHeight="true" outlineLevel="0" collapsed="false">
      <c r="A38" s="34"/>
      <c r="B38" s="34"/>
      <c r="C38" s="62"/>
      <c r="D38" s="62"/>
      <c r="E38" s="62"/>
      <c r="F38" s="60" t="str">
        <f aca="false">IF(OR($C38="",$D38=""),"",($D38-$C38)*1440)</f>
        <v/>
      </c>
      <c r="G38" s="60" t="str">
        <f aca="false">IF(OR($D38="",$E38=""),"",($E38-$D38)*1440)</f>
        <v/>
      </c>
      <c r="H38" s="60" t="str">
        <f aca="false">IF(OR($C38="",$E38=""),"",($E38-$C38)*1440)</f>
        <v/>
      </c>
      <c r="I38" s="33"/>
      <c r="J38" s="33"/>
      <c r="K38" s="49" t="str">
        <f aca="false">IF(OR($G38="",$G38=0,$I38="",$J38="",$J38=0),"",$I38/(($G38/60)*$J38))</f>
        <v/>
      </c>
      <c r="L38" s="33"/>
      <c r="M38" s="34"/>
    </row>
    <row r="39" customFormat="false" ht="16.5" hidden="false" customHeight="true" outlineLevel="0" collapsed="false">
      <c r="A39" s="34"/>
      <c r="B39" s="34"/>
      <c r="C39" s="62"/>
      <c r="D39" s="62"/>
      <c r="E39" s="62"/>
      <c r="F39" s="60" t="str">
        <f aca="false">IF(OR($C39="",$D39=""),"",($D39-$C39)*1440)</f>
        <v/>
      </c>
      <c r="G39" s="60" t="str">
        <f aca="false">IF(OR($D39="",$E39=""),"",($E39-$D39)*1440)</f>
        <v/>
      </c>
      <c r="H39" s="60" t="str">
        <f aca="false">IF(OR($C39="",$E39=""),"",($E39-$C39)*1440)</f>
        <v/>
      </c>
      <c r="I39" s="33"/>
      <c r="J39" s="33"/>
      <c r="K39" s="49" t="str">
        <f aca="false">IF(OR($G39="",$G39=0,$I39="",$J39="",$J39=0),"",$I39/(($G39/60)*$J39))</f>
        <v/>
      </c>
      <c r="L39" s="33"/>
      <c r="M39" s="34"/>
    </row>
    <row r="40" customFormat="false" ht="16.5" hidden="false" customHeight="true" outlineLevel="0" collapsed="false">
      <c r="A40" s="34"/>
      <c r="B40" s="34"/>
      <c r="C40" s="62"/>
      <c r="D40" s="62"/>
      <c r="E40" s="62"/>
      <c r="F40" s="60" t="str">
        <f aca="false">IF(OR($C40="",$D40=""),"",($D40-$C40)*1440)</f>
        <v/>
      </c>
      <c r="G40" s="60" t="str">
        <f aca="false">IF(OR($D40="",$E40=""),"",($E40-$D40)*1440)</f>
        <v/>
      </c>
      <c r="H40" s="60" t="str">
        <f aca="false">IF(OR($C40="",$E40=""),"",($E40-$C40)*1440)</f>
        <v/>
      </c>
      <c r="I40" s="33"/>
      <c r="J40" s="33"/>
      <c r="K40" s="49" t="str">
        <f aca="false">IF(OR($G40="",$G40=0,$I40="",$J40="",$J40=0),"",$I40/(($G40/60)*$J40))</f>
        <v/>
      </c>
      <c r="L40" s="33"/>
      <c r="M40" s="34"/>
    </row>
    <row r="41" customFormat="false" ht="16.5" hidden="false" customHeight="true" outlineLevel="0" collapsed="false">
      <c r="A41" s="34"/>
      <c r="B41" s="34"/>
      <c r="C41" s="62"/>
      <c r="D41" s="62"/>
      <c r="E41" s="62"/>
      <c r="F41" s="60" t="str">
        <f aca="false">IF(OR($C41="",$D41=""),"",($D41-$C41)*1440)</f>
        <v/>
      </c>
      <c r="G41" s="60" t="str">
        <f aca="false">IF(OR($D41="",$E41=""),"",($E41-$D41)*1440)</f>
        <v/>
      </c>
      <c r="H41" s="60" t="str">
        <f aca="false">IF(OR($C41="",$E41=""),"",($E41-$C41)*1440)</f>
        <v/>
      </c>
      <c r="I41" s="33"/>
      <c r="J41" s="33"/>
      <c r="K41" s="49" t="str">
        <f aca="false">IF(OR($G41="",$G41=0,$I41="",$J41="",$J41=0),"",$I41/(($G41/60)*$J41))</f>
        <v/>
      </c>
      <c r="L41" s="33"/>
      <c r="M41" s="34"/>
    </row>
    <row r="42" customFormat="false" ht="16.5" hidden="false" customHeight="true" outlineLevel="0" collapsed="false">
      <c r="A42" s="34"/>
      <c r="B42" s="34"/>
      <c r="C42" s="62"/>
      <c r="D42" s="62"/>
      <c r="E42" s="62"/>
      <c r="F42" s="60" t="str">
        <f aca="false">IF(OR($C42="",$D42=""),"",($D42-$C42)*1440)</f>
        <v/>
      </c>
      <c r="G42" s="60" t="str">
        <f aca="false">IF(OR($D42="",$E42=""),"",($E42-$D42)*1440)</f>
        <v/>
      </c>
      <c r="H42" s="60" t="str">
        <f aca="false">IF(OR($C42="",$E42=""),"",($E42-$C42)*1440)</f>
        <v/>
      </c>
      <c r="I42" s="33"/>
      <c r="J42" s="33"/>
      <c r="K42" s="49" t="str">
        <f aca="false">IF(OR($G42="",$G42=0,$I42="",$J42="",$J42=0),"",$I42/(($G42/60)*$J42))</f>
        <v/>
      </c>
      <c r="L42" s="33"/>
      <c r="M42" s="34"/>
    </row>
    <row r="43" customFormat="false" ht="16.5" hidden="false" customHeight="true" outlineLevel="0" collapsed="false">
      <c r="A43" s="34"/>
      <c r="B43" s="34"/>
      <c r="C43" s="62"/>
      <c r="D43" s="62"/>
      <c r="E43" s="62"/>
      <c r="F43" s="60" t="str">
        <f aca="false">IF(OR($C43="",$D43=""),"",($D43-$C43)*1440)</f>
        <v/>
      </c>
      <c r="G43" s="60" t="str">
        <f aca="false">IF(OR($D43="",$E43=""),"",($E43-$D43)*1440)</f>
        <v/>
      </c>
      <c r="H43" s="60" t="str">
        <f aca="false">IF(OR($C43="",$E43=""),"",($E43-$C43)*1440)</f>
        <v/>
      </c>
      <c r="I43" s="33"/>
      <c r="J43" s="33"/>
      <c r="K43" s="49" t="str">
        <f aca="false">IF(OR($G43="",$G43=0,$I43="",$J43="",$J43=0),"",$I43/(($G43/60)*$J43))</f>
        <v/>
      </c>
      <c r="L43" s="33"/>
      <c r="M43" s="34"/>
    </row>
    <row r="44" customFormat="false" ht="16.5" hidden="false" customHeight="true" outlineLevel="0" collapsed="false">
      <c r="A44" s="34"/>
      <c r="B44" s="34"/>
      <c r="C44" s="62"/>
      <c r="D44" s="62"/>
      <c r="E44" s="62"/>
      <c r="F44" s="60" t="str">
        <f aca="false">IF(OR($C44="",$D44=""),"",($D44-$C44)*1440)</f>
        <v/>
      </c>
      <c r="G44" s="60" t="str">
        <f aca="false">IF(OR($D44="",$E44=""),"",($E44-$D44)*1440)</f>
        <v/>
      </c>
      <c r="H44" s="60" t="str">
        <f aca="false">IF(OR($C44="",$E44=""),"",($E44-$C44)*1440)</f>
        <v/>
      </c>
      <c r="I44" s="33"/>
      <c r="J44" s="33"/>
      <c r="K44" s="49" t="str">
        <f aca="false">IF(OR($G44="",$G44=0,$I44="",$J44="",$J44=0),"",$I44/(($G44/60)*$J44))</f>
        <v/>
      </c>
      <c r="L44" s="33"/>
      <c r="M44" s="34"/>
    </row>
    <row r="45" customFormat="false" ht="16.5" hidden="false" customHeight="true" outlineLevel="0" collapsed="false">
      <c r="A45" s="34"/>
      <c r="B45" s="34"/>
      <c r="C45" s="62"/>
      <c r="D45" s="62"/>
      <c r="E45" s="62"/>
      <c r="F45" s="60" t="str">
        <f aca="false">IF(OR($C45="",$D45=""),"",($D45-$C45)*1440)</f>
        <v/>
      </c>
      <c r="G45" s="60" t="str">
        <f aca="false">IF(OR($D45="",$E45=""),"",($E45-$D45)*1440)</f>
        <v/>
      </c>
      <c r="H45" s="60" t="str">
        <f aca="false">IF(OR($C45="",$E45=""),"",($E45-$C45)*1440)</f>
        <v/>
      </c>
      <c r="I45" s="33"/>
      <c r="J45" s="33"/>
      <c r="K45" s="49" t="str">
        <f aca="false">IF(OR($G45="",$G45=0,$I45="",$J45="",$J45=0),"",$I45/(($G45/60)*$J45))</f>
        <v/>
      </c>
      <c r="L45" s="33"/>
      <c r="M45" s="34"/>
    </row>
    <row r="46" customFormat="false" ht="16.5" hidden="false" customHeight="true" outlineLevel="0" collapsed="false">
      <c r="A46" s="34"/>
      <c r="B46" s="34"/>
      <c r="C46" s="62"/>
      <c r="D46" s="62"/>
      <c r="E46" s="62"/>
      <c r="F46" s="60" t="str">
        <f aca="false">IF(OR($C46="",$D46=""),"",($D46-$C46)*1440)</f>
        <v/>
      </c>
      <c r="G46" s="60" t="str">
        <f aca="false">IF(OR($D46="",$E46=""),"",($E46-$D46)*1440)</f>
        <v/>
      </c>
      <c r="H46" s="60" t="str">
        <f aca="false">IF(OR($C46="",$E46=""),"",($E46-$C46)*1440)</f>
        <v/>
      </c>
      <c r="I46" s="33"/>
      <c r="J46" s="33"/>
      <c r="K46" s="49" t="str">
        <f aca="false">IF(OR($G46="",$G46=0,$I46="",$J46="",$J46=0),"",$I46/(($G46/60)*$J46))</f>
        <v/>
      </c>
      <c r="L46" s="33"/>
      <c r="M46" s="34"/>
    </row>
    <row r="47" customFormat="false" ht="16.5" hidden="false" customHeight="true" outlineLevel="0" collapsed="false">
      <c r="A47" s="34"/>
      <c r="B47" s="34"/>
      <c r="C47" s="62"/>
      <c r="D47" s="62"/>
      <c r="E47" s="62"/>
      <c r="F47" s="60" t="str">
        <f aca="false">IF(OR($C47="",$D47=""),"",($D47-$C47)*1440)</f>
        <v/>
      </c>
      <c r="G47" s="60" t="str">
        <f aca="false">IF(OR($D47="",$E47=""),"",($E47-$D47)*1440)</f>
        <v/>
      </c>
      <c r="H47" s="60" t="str">
        <f aca="false">IF(OR($C47="",$E47=""),"",($E47-$C47)*1440)</f>
        <v/>
      </c>
      <c r="I47" s="33"/>
      <c r="J47" s="33"/>
      <c r="K47" s="49" t="str">
        <f aca="false">IF(OR($G47="",$G47=0,$I47="",$J47="",$J47=0),"",$I47/(($G47/60)*$J47))</f>
        <v/>
      </c>
      <c r="L47" s="33"/>
      <c r="M47" s="34"/>
    </row>
    <row r="48" customFormat="false" ht="16.5" hidden="false" customHeight="true" outlineLevel="0" collapsed="false">
      <c r="A48" s="34"/>
      <c r="B48" s="34"/>
      <c r="C48" s="62"/>
      <c r="D48" s="62"/>
      <c r="E48" s="62"/>
      <c r="F48" s="60" t="str">
        <f aca="false">IF(OR($C48="",$D48=""),"",($D48-$C48)*1440)</f>
        <v/>
      </c>
      <c r="G48" s="60" t="str">
        <f aca="false">IF(OR($D48="",$E48=""),"",($E48-$D48)*1440)</f>
        <v/>
      </c>
      <c r="H48" s="60" t="str">
        <f aca="false">IF(OR($C48="",$E48=""),"",($E48-$C48)*1440)</f>
        <v/>
      </c>
      <c r="I48" s="33"/>
      <c r="J48" s="33"/>
      <c r="K48" s="49" t="str">
        <f aca="false">IF(OR($G48="",$G48=0,$I48="",$J48="",$J48=0),"",$I48/(($G48/60)*$J48))</f>
        <v/>
      </c>
      <c r="L48" s="33"/>
      <c r="M48" s="34"/>
    </row>
    <row r="49" customFormat="false" ht="16.5" hidden="false" customHeight="true" outlineLevel="0" collapsed="false">
      <c r="A49" s="34"/>
      <c r="B49" s="34"/>
      <c r="C49" s="62"/>
      <c r="D49" s="62"/>
      <c r="E49" s="62"/>
      <c r="F49" s="60" t="str">
        <f aca="false">IF(OR($C49="",$D49=""),"",($D49-$C49)*1440)</f>
        <v/>
      </c>
      <c r="G49" s="60" t="str">
        <f aca="false">IF(OR($D49="",$E49=""),"",($E49-$D49)*1440)</f>
        <v/>
      </c>
      <c r="H49" s="60" t="str">
        <f aca="false">IF(OR($C49="",$E49=""),"",($E49-$C49)*1440)</f>
        <v/>
      </c>
      <c r="I49" s="33"/>
      <c r="J49" s="33"/>
      <c r="K49" s="49" t="str">
        <f aca="false">IF(OR($G49="",$G49=0,$I49="",$J49="",$J49=0),"",$I49/(($G49/60)*$J49))</f>
        <v/>
      </c>
      <c r="L49" s="33"/>
      <c r="M49" s="34"/>
    </row>
    <row r="50" customFormat="false" ht="16.5" hidden="false" customHeight="true" outlineLevel="0" collapsed="false">
      <c r="A50" s="34"/>
      <c r="B50" s="34"/>
      <c r="C50" s="62"/>
      <c r="D50" s="62"/>
      <c r="E50" s="62"/>
      <c r="F50" s="60" t="str">
        <f aca="false">IF(OR($C50="",$D50=""),"",($D50-$C50)*1440)</f>
        <v/>
      </c>
      <c r="G50" s="60" t="str">
        <f aca="false">IF(OR($D50="",$E50=""),"",($E50-$D50)*1440)</f>
        <v/>
      </c>
      <c r="H50" s="60" t="str">
        <f aca="false">IF(OR($C50="",$E50=""),"",($E50-$C50)*1440)</f>
        <v/>
      </c>
      <c r="I50" s="33"/>
      <c r="J50" s="33"/>
      <c r="K50" s="49" t="str">
        <f aca="false">IF(OR($G50="",$G50=0,$I50="",$J50="",$J50=0),"",$I50/(($G50/60)*$J50))</f>
        <v/>
      </c>
      <c r="L50" s="33"/>
      <c r="M50" s="34"/>
    </row>
    <row r="51" customFormat="false" ht="16.5" hidden="false" customHeight="true" outlineLevel="0" collapsed="false">
      <c r="A51" s="34"/>
      <c r="B51" s="34"/>
      <c r="C51" s="62"/>
      <c r="D51" s="62"/>
      <c r="E51" s="62"/>
      <c r="F51" s="60" t="str">
        <f aca="false">IF(OR($C51="",$D51=""),"",($D51-$C51)*1440)</f>
        <v/>
      </c>
      <c r="G51" s="60" t="str">
        <f aca="false">IF(OR($D51="",$E51=""),"",($E51-$D51)*1440)</f>
        <v/>
      </c>
      <c r="H51" s="60" t="str">
        <f aca="false">IF(OR($C51="",$E51=""),"",($E51-$C51)*1440)</f>
        <v/>
      </c>
      <c r="I51" s="33"/>
      <c r="J51" s="33"/>
      <c r="K51" s="49" t="str">
        <f aca="false">IF(OR($G51="",$G51=0,$I51="",$J51="",$J51=0),"",$I51/(($G51/60)*$J51))</f>
        <v/>
      </c>
      <c r="L51" s="33"/>
      <c r="M51" s="34"/>
    </row>
    <row r="52" customFormat="false" ht="16.5" hidden="false" customHeight="true" outlineLevel="0" collapsed="false">
      <c r="A52" s="34"/>
      <c r="B52" s="34"/>
      <c r="C52" s="62"/>
      <c r="D52" s="62"/>
      <c r="E52" s="62"/>
      <c r="F52" s="60" t="str">
        <f aca="false">IF(OR($C52="",$D52=""),"",($D52-$C52)*1440)</f>
        <v/>
      </c>
      <c r="G52" s="60" t="str">
        <f aca="false">IF(OR($D52="",$E52=""),"",($E52-$D52)*1440)</f>
        <v/>
      </c>
      <c r="H52" s="60" t="str">
        <f aca="false">IF(OR($C52="",$E52=""),"",($E52-$C52)*1440)</f>
        <v/>
      </c>
      <c r="I52" s="33"/>
      <c r="J52" s="33"/>
      <c r="K52" s="49" t="str">
        <f aca="false">IF(OR($G52="",$G52=0,$I52="",$J52="",$J52=0),"",$I52/(($G52/60)*$J52))</f>
        <v/>
      </c>
      <c r="L52" s="33"/>
      <c r="M52" s="34"/>
    </row>
    <row r="53" customFormat="false" ht="16.5" hidden="false" customHeight="true" outlineLevel="0" collapsed="false">
      <c r="A53" s="34"/>
      <c r="B53" s="34"/>
      <c r="C53" s="62"/>
      <c r="D53" s="62"/>
      <c r="E53" s="62"/>
      <c r="F53" s="60" t="str">
        <f aca="false">IF(OR($C53="",$D53=""),"",($D53-$C53)*1440)</f>
        <v/>
      </c>
      <c r="G53" s="60" t="str">
        <f aca="false">IF(OR($D53="",$E53=""),"",($E53-$D53)*1440)</f>
        <v/>
      </c>
      <c r="H53" s="60" t="str">
        <f aca="false">IF(OR($C53="",$E53=""),"",($E53-$C53)*1440)</f>
        <v/>
      </c>
      <c r="I53" s="33"/>
      <c r="J53" s="33"/>
      <c r="K53" s="49" t="str">
        <f aca="false">IF(OR($G53="",$G53=0,$I53="",$J53="",$J53=0),"",$I53/(($G53/60)*$J53))</f>
        <v/>
      </c>
      <c r="L53" s="33"/>
      <c r="M53" s="34"/>
    </row>
    <row r="54" customFormat="false" ht="24" hidden="false" customHeight="true" outlineLevel="0" collapsed="false">
      <c r="A54" s="44" t="s">
        <v>497</v>
      </c>
      <c r="B54" s="45"/>
      <c r="C54" s="45"/>
      <c r="D54" s="45"/>
      <c r="E54" s="45"/>
      <c r="F54" s="63" t="str">
        <f aca="false">IF(COUNT(F34:F53)=0,"",AVERAGE(F34:F53))</f>
        <v/>
      </c>
      <c r="G54" s="63" t="str">
        <f aca="false">IF(COUNT(G34:G53)=0,"",AVERAGE(G34:G53))</f>
        <v/>
      </c>
      <c r="H54" s="63" t="str">
        <f aca="false">IF(COUNT(H34:H53)=0,"",AVERAGE(H34:H53))</f>
        <v/>
      </c>
      <c r="I54" s="45" t="str">
        <f aca="false">IF(SUM(I34:I53)=0,"",SUM(I34:I53))</f>
        <v/>
      </c>
      <c r="J54" s="45"/>
      <c r="K54" s="50" t="str">
        <f aca="false">IF(COUNT(K34:K53)=0,"",AVERAGE(K34:K53))</f>
        <v/>
      </c>
      <c r="L54" s="45"/>
      <c r="M54" s="45"/>
    </row>
    <row r="55" customFormat="false" ht="21.75" hidden="false" customHeight="true" outlineLevel="0" collapsed="false">
      <c r="A55" s="56" t="s">
        <v>498</v>
      </c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5" t="str">
        <f aca="false">IF((COUNTIF($L$34:$L$53,"Sí")+COUNTIF($L$34:$L$53,"No"))=0,"",COUNTIF($L$34:$L$53,"No")/(COUNTIF($L$34:$L$53,"Sí")+COUNTIF($L$34:$L$53,"No")))</f>
        <v/>
      </c>
    </row>
    <row r="57" customFormat="false" ht="30.75" hidden="false" customHeight="true" outlineLevel="0" collapsed="false">
      <c r="A57" s="18" t="s">
        <v>499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</sheetData>
  <mergeCells count="31">
    <mergeCell ref="A1:M1"/>
    <mergeCell ref="A2:M2"/>
    <mergeCell ref="A4:M4"/>
    <mergeCell ref="B5:M5"/>
    <mergeCell ref="B6:M6"/>
    <mergeCell ref="B7:M7"/>
    <mergeCell ref="B8:M8"/>
    <mergeCell ref="A9:M9"/>
    <mergeCell ref="B10:M10"/>
    <mergeCell ref="B11:M11"/>
    <mergeCell ref="B12:M12"/>
    <mergeCell ref="B13:M13"/>
    <mergeCell ref="B14:M14"/>
    <mergeCell ref="A15:M15"/>
    <mergeCell ref="B16:M16"/>
    <mergeCell ref="B17:M17"/>
    <mergeCell ref="B18:M18"/>
    <mergeCell ref="B19:M19"/>
    <mergeCell ref="B20:M20"/>
    <mergeCell ref="B21:M21"/>
    <mergeCell ref="A22:M22"/>
    <mergeCell ref="B23:M23"/>
    <mergeCell ref="B24:M24"/>
    <mergeCell ref="B25:M25"/>
    <mergeCell ref="B26:M26"/>
    <mergeCell ref="B27:M27"/>
    <mergeCell ref="B28:M28"/>
    <mergeCell ref="A30:B30"/>
    <mergeCell ref="D30:E30"/>
    <mergeCell ref="A55:K55"/>
    <mergeCell ref="A57:M57"/>
  </mergeCells>
  <conditionalFormatting sqref="H54">
    <cfRule type="cellIs" priority="2" operator="greaterThan" aboveAverage="0" equalAverage="0" bottom="0" percent="0" rank="0" text="" dxfId="4">
      <formula>90</formula>
    </cfRule>
  </conditionalFormatting>
  <conditionalFormatting sqref="L55">
    <cfRule type="cellIs" priority="3" operator="greaterThan" aboveAverage="0" equalAverage="0" bottom="0" percent="0" rank="0" text="" dxfId="7">
      <formula>0.2</formula>
    </cfRule>
  </conditionalFormatting>
  <dataValidations count="9">
    <dataValidation allowBlank="true" error="Escribe un número igual o mayor que cero." errorStyle="stop" errorTitle="Solo números" operator="greaterThanOrEqual" prompt="Cuántas puertas de despacho existen y están operativas." promptTitle="Muelles habilitados" showDropDown="false" showErrorMessage="true" showInputMessage="true" sqref="C30" type="decimal">
      <formula1>0</formula1>
      <formula2>0</formula2>
    </dataValidation>
    <dataValidation allowBlank="true" error="Escribe un número igual o mayor que cero." errorStyle="stop" errorTitle="Solo números" operator="greaterThanOrEqual" prompt="Cuántas se usaron simultáneamente en el pico. La diferencia con las habilitadas suele explicar la espera." promptTitle="Muelles en uso" showDropDown="false" showErrorMessage="true" showInputMessage="true" sqref="F30" type="decimal">
      <formula1>0</formula1>
      <formula2>0</formula2>
    </dataValidation>
    <dataValidation allowBlank="true" error="Elige una de la lista." errorStyle="stop" errorTitle="Opción no válida" operator="between" prompt="No = al llegar el vehículo, el pedido todavía se estaba alistando o chequeando. Conecta con la hoja 6." promptTitle="¿Pedido listo al llegar?" showDropDown="false" showErrorMessage="false" showInputMessage="true" sqref="L34:L53" type="list">
      <formula1>"Sí,No"</formula1>
      <formula2>0</formula2>
    </dataValidation>
    <dataValidation allowBlank="true" errorStyle="stop" operator="between" prompt="Placa del vehículo tal como quedó en la planilla de portería." promptTitle="Placa" showDropDown="false" showErrorMessage="false" showInputMessage="true" sqref="A34:A53" type="none">
      <formula1>0</formula1>
      <formula2>0</formula2>
    </dataValidation>
    <dataValidation allowBlank="true" errorStyle="stop" operator="between" prompt="Cuando el vehículo llega a portería. Formato HH:MM (ej. 07:40)." promptTitle="Hora de llegada" showDropDown="false" showErrorMessage="false" showInputMessage="true" sqref="C34:C53" type="none">
      <formula1>0</formula1>
      <formula2>0</formula2>
    </dataValidation>
    <dataValidation allowBlank="true" errorStyle="stop" operator="between" prompt="Cuando el vehículo se ubica en el muelle. Si no la tienes, déjala vacía." promptTitle="Hora entrada a muelle" showDropDown="false" showErrorMessage="false" showInputMessage="true" sqref="D34:D53" type="none">
      <formula1>0</formula1>
      <formula2>0</formula2>
    </dataValidation>
    <dataValidation allowBlank="true" errorStyle="stop" operator="between" prompt="Cuando el vehículo sale de las instalaciones. Formato HH:MM." promptTitle="Hora de salida" showDropDown="false" showErrorMessage="false" showInputMessage="true" sqref="E34:E53" type="none">
      <formula1>0</formula1>
      <formula2>0</formula2>
    </dataValidation>
    <dataValidation allowBlank="true" error="Escribe un número igual o mayor que cero." errorStyle="stop" errorTitle="Solo números" operator="greaterThanOrEqual" prompt="Pallets o cajas. Usa siempre la misma unidad en toda la hoja o la productividad no será comparable." promptTitle="Unidades cargadas" showDropDown="false" showErrorMessage="true" showInputMessage="true" sqref="I34:I53" type="decimal">
      <formula1>0</formula1>
      <formula2>0</formula2>
    </dataValidation>
    <dataValidation allowBlank="true" error="Escribe un número igual o mayor que cero." errorStyle="stop" errorTitle="Solo números" operator="greaterThanOrEqual" prompt="Cuántas personas cargaron ese vehículo, incluido el operador del montacargas." promptTitle="Personas en el cargue" showDropDown="false" showErrorMessage="true" showInputMessage="true" sqref="J34:J5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4C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8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6" min="5" style="0" width="34"/>
  </cols>
  <sheetData>
    <row r="1" customFormat="false" ht="25.5" hidden="false" customHeight="true" outlineLevel="0" collapsed="false">
      <c r="A1" s="19" t="s">
        <v>500</v>
      </c>
      <c r="B1" s="19"/>
      <c r="C1" s="19"/>
      <c r="D1" s="19"/>
      <c r="E1" s="19"/>
      <c r="F1" s="19"/>
    </row>
    <row r="2" customFormat="false" ht="15.75" hidden="false" customHeight="true" outlineLevel="0" collapsed="false">
      <c r="A2" s="20" t="s">
        <v>501</v>
      </c>
      <c r="B2" s="20"/>
      <c r="C2" s="20"/>
      <c r="D2" s="20"/>
      <c r="E2" s="20"/>
      <c r="F2" s="20"/>
    </row>
    <row r="4" customFormat="false" ht="18.75" hidden="false" customHeight="true" outlineLevel="0" collapsed="false">
      <c r="A4" s="4" t="s">
        <v>502</v>
      </c>
      <c r="B4" s="4"/>
      <c r="C4" s="4"/>
      <c r="D4" s="4"/>
      <c r="E4" s="4"/>
      <c r="F4" s="4"/>
    </row>
    <row r="5" customFormat="false" ht="16.5" hidden="false" customHeight="true" outlineLevel="0" collapsed="false">
      <c r="A5" s="35" t="s">
        <v>184</v>
      </c>
      <c r="B5" s="36" t="s">
        <v>503</v>
      </c>
      <c r="C5" s="36"/>
      <c r="D5" s="36"/>
      <c r="E5" s="36"/>
      <c r="F5" s="36"/>
    </row>
    <row r="6" customFormat="false" ht="16.5" hidden="false" customHeight="true" outlineLevel="0" collapsed="false">
      <c r="A6" s="35" t="s">
        <v>184</v>
      </c>
      <c r="B6" s="36" t="s">
        <v>504</v>
      </c>
      <c r="C6" s="36"/>
      <c r="D6" s="36"/>
      <c r="E6" s="36"/>
      <c r="F6" s="36"/>
    </row>
    <row r="7" customFormat="false" ht="16.5" hidden="false" customHeight="true" outlineLevel="0" collapsed="false">
      <c r="A7" s="35" t="s">
        <v>184</v>
      </c>
      <c r="B7" s="36" t="s">
        <v>505</v>
      </c>
      <c r="C7" s="36"/>
      <c r="D7" s="36"/>
      <c r="E7" s="36"/>
      <c r="F7" s="36"/>
    </row>
    <row r="8" customFormat="false" ht="18.75" hidden="false" customHeight="true" outlineLevel="0" collapsed="false">
      <c r="A8" s="69" t="s">
        <v>506</v>
      </c>
      <c r="B8" s="69"/>
      <c r="C8" s="69"/>
      <c r="D8" s="69"/>
      <c r="E8" s="69"/>
      <c r="F8" s="69"/>
    </row>
    <row r="9" customFormat="false" ht="21.75" hidden="false" customHeight="true" outlineLevel="0" collapsed="false">
      <c r="A9" s="8" t="s">
        <v>507</v>
      </c>
      <c r="B9" s="8" t="s">
        <v>508</v>
      </c>
    </row>
    <row r="10" customFormat="false" ht="21.75" hidden="false" customHeight="true" outlineLevel="0" collapsed="false">
      <c r="A10" s="70" t="s">
        <v>509</v>
      </c>
      <c r="B10" s="71" t="s">
        <v>510</v>
      </c>
    </row>
    <row r="11" customFormat="false" ht="21.75" hidden="false" customHeight="true" outlineLevel="0" collapsed="false">
      <c r="A11" s="70" t="s">
        <v>511</v>
      </c>
      <c r="B11" s="71" t="s">
        <v>512</v>
      </c>
    </row>
    <row r="12" customFormat="false" ht="21.75" hidden="false" customHeight="true" outlineLevel="0" collapsed="false">
      <c r="A12" s="70" t="s">
        <v>513</v>
      </c>
      <c r="B12" s="71" t="s">
        <v>514</v>
      </c>
    </row>
    <row r="13" customFormat="false" ht="21.75" hidden="false" customHeight="true" outlineLevel="0" collapsed="false">
      <c r="A13" s="70" t="s">
        <v>515</v>
      </c>
      <c r="B13" s="71" t="s">
        <v>516</v>
      </c>
    </row>
    <row r="14" customFormat="false" ht="21.75" hidden="false" customHeight="true" outlineLevel="0" collapsed="false">
      <c r="A14" s="70" t="s">
        <v>517</v>
      </c>
      <c r="B14" s="71" t="s">
        <v>518</v>
      </c>
    </row>
    <row r="15" customFormat="false" ht="21.75" hidden="false" customHeight="true" outlineLevel="0" collapsed="false">
      <c r="A15" s="70" t="s">
        <v>519</v>
      </c>
      <c r="B15" s="71" t="s">
        <v>520</v>
      </c>
    </row>
    <row r="17" customFormat="false" ht="18.75" hidden="false" customHeight="true" outlineLevel="0" collapsed="false">
      <c r="A17" s="4" t="s">
        <v>521</v>
      </c>
      <c r="B17" s="4"/>
      <c r="C17" s="4"/>
      <c r="D17" s="4"/>
      <c r="E17" s="4"/>
      <c r="F17" s="4"/>
    </row>
    <row r="18" customFormat="false" ht="33.75" hidden="false" customHeight="true" outlineLevel="0" collapsed="false">
      <c r="A18" s="8" t="s">
        <v>522</v>
      </c>
      <c r="B18" s="8" t="s">
        <v>523</v>
      </c>
      <c r="C18" s="8" t="s">
        <v>524</v>
      </c>
      <c r="D18" s="8" t="s">
        <v>433</v>
      </c>
      <c r="E18" s="8" t="s">
        <v>434</v>
      </c>
      <c r="F18" s="8" t="s">
        <v>525</v>
      </c>
    </row>
    <row r="19" customFormat="false" ht="39.75" hidden="false" customHeight="true" outlineLevel="0" collapsed="false">
      <c r="A19" s="9" t="s">
        <v>526</v>
      </c>
      <c r="B19" s="72" t="s">
        <v>527</v>
      </c>
      <c r="C19" s="32" t="s">
        <v>528</v>
      </c>
      <c r="D19" s="34"/>
      <c r="E19" s="66" t="s">
        <v>529</v>
      </c>
      <c r="F19" s="26" t="s">
        <v>530</v>
      </c>
    </row>
    <row r="20" customFormat="false" ht="39.75" hidden="false" customHeight="true" outlineLevel="0" collapsed="false">
      <c r="A20" s="9" t="s">
        <v>526</v>
      </c>
      <c r="B20" s="72" t="s">
        <v>531</v>
      </c>
      <c r="C20" s="32" t="s">
        <v>532</v>
      </c>
      <c r="D20" s="34"/>
      <c r="E20" s="66" t="s">
        <v>533</v>
      </c>
      <c r="F20" s="26" t="s">
        <v>534</v>
      </c>
    </row>
    <row r="21" customFormat="false" ht="39.75" hidden="false" customHeight="true" outlineLevel="0" collapsed="false">
      <c r="A21" s="9" t="s">
        <v>526</v>
      </c>
      <c r="B21" s="72" t="s">
        <v>535</v>
      </c>
      <c r="C21" s="32" t="s">
        <v>536</v>
      </c>
      <c r="D21" s="34"/>
      <c r="E21" s="66" t="s">
        <v>537</v>
      </c>
      <c r="F21" s="26" t="s">
        <v>538</v>
      </c>
    </row>
    <row r="22" customFormat="false" ht="39.75" hidden="false" customHeight="true" outlineLevel="0" collapsed="false">
      <c r="A22" s="9" t="s">
        <v>526</v>
      </c>
      <c r="B22" s="72" t="s">
        <v>321</v>
      </c>
      <c r="C22" s="32" t="s">
        <v>539</v>
      </c>
      <c r="D22" s="34"/>
      <c r="E22" s="66" t="s">
        <v>540</v>
      </c>
      <c r="F22" s="26" t="s">
        <v>541</v>
      </c>
    </row>
    <row r="23" customFormat="false" ht="39.75" hidden="false" customHeight="true" outlineLevel="0" collapsed="false">
      <c r="A23" s="9" t="s">
        <v>542</v>
      </c>
      <c r="B23" s="72" t="s">
        <v>435</v>
      </c>
      <c r="C23" s="32" t="s">
        <v>543</v>
      </c>
      <c r="D23" s="34"/>
      <c r="E23" s="66" t="s">
        <v>436</v>
      </c>
      <c r="F23" s="26" t="s">
        <v>544</v>
      </c>
    </row>
    <row r="24" customFormat="false" ht="39.75" hidden="false" customHeight="true" outlineLevel="0" collapsed="false">
      <c r="A24" s="9" t="s">
        <v>542</v>
      </c>
      <c r="B24" s="72" t="s">
        <v>440</v>
      </c>
      <c r="C24" s="32" t="s">
        <v>545</v>
      </c>
      <c r="D24" s="34"/>
      <c r="E24" s="66" t="s">
        <v>546</v>
      </c>
      <c r="F24" s="26" t="s">
        <v>547</v>
      </c>
    </row>
    <row r="25" customFormat="false" ht="39.75" hidden="false" customHeight="true" outlineLevel="0" collapsed="false">
      <c r="A25" s="9" t="s">
        <v>542</v>
      </c>
      <c r="B25" s="72" t="s">
        <v>425</v>
      </c>
      <c r="C25" s="32" t="s">
        <v>548</v>
      </c>
      <c r="D25" s="34"/>
      <c r="E25" s="66" t="s">
        <v>549</v>
      </c>
      <c r="F25" s="26" t="s">
        <v>550</v>
      </c>
    </row>
    <row r="26" customFormat="false" ht="39.75" hidden="false" customHeight="true" outlineLevel="0" collapsed="false">
      <c r="A26" s="9" t="s">
        <v>551</v>
      </c>
      <c r="B26" s="72" t="s">
        <v>552</v>
      </c>
      <c r="C26" s="32" t="s">
        <v>553</v>
      </c>
      <c r="D26" s="34"/>
      <c r="E26" s="66" t="s">
        <v>554</v>
      </c>
      <c r="F26" s="26" t="s">
        <v>555</v>
      </c>
    </row>
    <row r="27" customFormat="false" ht="39.75" hidden="false" customHeight="true" outlineLevel="0" collapsed="false">
      <c r="A27" s="9" t="s">
        <v>551</v>
      </c>
      <c r="B27" s="72" t="s">
        <v>376</v>
      </c>
      <c r="C27" s="32" t="s">
        <v>556</v>
      </c>
      <c r="D27" s="34"/>
      <c r="E27" s="66" t="s">
        <v>557</v>
      </c>
      <c r="F27" s="26" t="s">
        <v>558</v>
      </c>
    </row>
    <row r="28" customFormat="false" ht="39.75" hidden="false" customHeight="true" outlineLevel="0" collapsed="false">
      <c r="A28" s="9" t="s">
        <v>559</v>
      </c>
      <c r="B28" s="72" t="s">
        <v>560</v>
      </c>
      <c r="C28" s="32" t="s">
        <v>561</v>
      </c>
      <c r="D28" s="34"/>
      <c r="E28" s="66" t="s">
        <v>562</v>
      </c>
      <c r="F28" s="26" t="s">
        <v>563</v>
      </c>
    </row>
    <row r="29" customFormat="false" ht="39.75" hidden="false" customHeight="true" outlineLevel="0" collapsed="false">
      <c r="A29" s="9" t="s">
        <v>559</v>
      </c>
      <c r="B29" s="72" t="s">
        <v>476</v>
      </c>
      <c r="C29" s="32" t="s">
        <v>564</v>
      </c>
      <c r="D29" s="34"/>
      <c r="E29" s="66" t="s">
        <v>565</v>
      </c>
      <c r="F29" s="26" t="s">
        <v>566</v>
      </c>
    </row>
    <row r="30" customFormat="false" ht="39.75" hidden="false" customHeight="true" outlineLevel="0" collapsed="false">
      <c r="A30" s="9" t="s">
        <v>250</v>
      </c>
      <c r="B30" s="72" t="s">
        <v>567</v>
      </c>
      <c r="C30" s="32" t="s">
        <v>568</v>
      </c>
      <c r="D30" s="34"/>
      <c r="E30" s="66" t="s">
        <v>569</v>
      </c>
      <c r="F30" s="26" t="s">
        <v>570</v>
      </c>
    </row>
    <row r="31" customFormat="false" ht="39.75" hidden="false" customHeight="true" outlineLevel="0" collapsed="false">
      <c r="A31" s="9" t="s">
        <v>250</v>
      </c>
      <c r="B31" s="72" t="s">
        <v>571</v>
      </c>
      <c r="C31" s="32" t="s">
        <v>572</v>
      </c>
      <c r="D31" s="34"/>
      <c r="E31" s="66" t="s">
        <v>573</v>
      </c>
      <c r="F31" s="26" t="s">
        <v>574</v>
      </c>
    </row>
    <row r="32" customFormat="false" ht="39.75" hidden="false" customHeight="true" outlineLevel="0" collapsed="false">
      <c r="A32" s="9" t="s">
        <v>250</v>
      </c>
      <c r="B32" s="72" t="s">
        <v>575</v>
      </c>
      <c r="C32" s="32" t="s">
        <v>576</v>
      </c>
      <c r="D32" s="34"/>
      <c r="E32" s="66" t="s">
        <v>577</v>
      </c>
      <c r="F32" s="26" t="s">
        <v>578</v>
      </c>
    </row>
    <row r="33" customFormat="false" ht="39.75" hidden="false" customHeight="true" outlineLevel="0" collapsed="false">
      <c r="A33" s="9" t="s">
        <v>250</v>
      </c>
      <c r="B33" s="72" t="s">
        <v>579</v>
      </c>
      <c r="C33" s="32" t="s">
        <v>580</v>
      </c>
      <c r="D33" s="34"/>
      <c r="E33" s="66" t="s">
        <v>581</v>
      </c>
      <c r="F33" s="26" t="s">
        <v>582</v>
      </c>
    </row>
    <row r="34" customFormat="false" ht="39.75" hidden="false" customHeight="true" outlineLevel="0" collapsed="false">
      <c r="A34" s="9" t="s">
        <v>9</v>
      </c>
      <c r="B34" s="72" t="s">
        <v>583</v>
      </c>
      <c r="C34" s="32" t="s">
        <v>584</v>
      </c>
      <c r="D34" s="34"/>
      <c r="E34" s="66" t="s">
        <v>585</v>
      </c>
      <c r="F34" s="26" t="s">
        <v>586</v>
      </c>
    </row>
    <row r="35" customFormat="false" ht="39.75" hidden="false" customHeight="true" outlineLevel="0" collapsed="false">
      <c r="A35" s="9" t="s">
        <v>9</v>
      </c>
      <c r="B35" s="72" t="s">
        <v>587</v>
      </c>
      <c r="C35" s="32" t="s">
        <v>588</v>
      </c>
      <c r="D35" s="34"/>
      <c r="E35" s="66" t="s">
        <v>589</v>
      </c>
      <c r="F35" s="26" t="s">
        <v>590</v>
      </c>
    </row>
    <row r="36" customFormat="false" ht="39.75" hidden="false" customHeight="true" outlineLevel="0" collapsed="false">
      <c r="A36" s="9" t="s">
        <v>9</v>
      </c>
      <c r="B36" s="72" t="s">
        <v>591</v>
      </c>
      <c r="C36" s="32" t="s">
        <v>592</v>
      </c>
      <c r="D36" s="34"/>
      <c r="E36" s="66" t="s">
        <v>593</v>
      </c>
      <c r="F36" s="26" t="s">
        <v>594</v>
      </c>
    </row>
    <row r="37" customFormat="false" ht="39.75" hidden="false" customHeight="true" outlineLevel="0" collapsed="false">
      <c r="A37" s="9" t="s">
        <v>219</v>
      </c>
      <c r="B37" s="72" t="s">
        <v>595</v>
      </c>
      <c r="C37" s="32" t="s">
        <v>596</v>
      </c>
      <c r="D37" s="34"/>
      <c r="E37" s="66" t="s">
        <v>597</v>
      </c>
      <c r="F37" s="26" t="s">
        <v>598</v>
      </c>
    </row>
    <row r="38" customFormat="false" ht="39.75" hidden="false" customHeight="true" outlineLevel="0" collapsed="false">
      <c r="A38" s="9" t="s">
        <v>599</v>
      </c>
      <c r="B38" s="72" t="s">
        <v>600</v>
      </c>
      <c r="C38" s="32" t="s">
        <v>601</v>
      </c>
      <c r="D38" s="34"/>
      <c r="E38" s="66" t="s">
        <v>602</v>
      </c>
      <c r="F38" s="26" t="s">
        <v>603</v>
      </c>
    </row>
  </sheetData>
  <mergeCells count="8">
    <mergeCell ref="A1:F1"/>
    <mergeCell ref="A2:F2"/>
    <mergeCell ref="A4:F4"/>
    <mergeCell ref="B5:F5"/>
    <mergeCell ref="B6:F6"/>
    <mergeCell ref="B7:F7"/>
    <mergeCell ref="A8:F8"/>
    <mergeCell ref="A17:F17"/>
  </mergeCells>
  <dataValidations count="1">
    <dataValidation allowBlank="true" errorStyle="stop" operator="between" prompt="Escribe la respuesta textual, no tu interpretación. Las palabras exactas valen más después." promptTitle="Respuesta" showDropDown="false" showErrorMessage="false" showInputMessage="true" sqref="D19:D38" type="non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4C"/>
    <pageSetUpPr fitToPage="tru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7" min="7" style="0" width="12"/>
    <col collapsed="false" customWidth="true" hidden="false" outlineLevel="0" max="8" min="8" style="0" width="28"/>
  </cols>
  <sheetData>
    <row r="1" customFormat="false" ht="25.5" hidden="false" customHeight="true" outlineLevel="0" collapsed="false">
      <c r="A1" s="19" t="s">
        <v>604</v>
      </c>
      <c r="B1" s="19"/>
      <c r="C1" s="19"/>
      <c r="D1" s="19"/>
      <c r="E1" s="19"/>
      <c r="F1" s="19"/>
      <c r="G1" s="19"/>
      <c r="H1" s="19"/>
    </row>
    <row r="2" customFormat="false" ht="15.75" hidden="false" customHeight="true" outlineLevel="0" collapsed="false">
      <c r="A2" s="20" t="s">
        <v>605</v>
      </c>
      <c r="B2" s="20"/>
      <c r="C2" s="20"/>
      <c r="D2" s="20"/>
      <c r="E2" s="20"/>
      <c r="F2" s="20"/>
      <c r="G2" s="20"/>
      <c r="H2" s="20"/>
    </row>
    <row r="3" customFormat="false" ht="16.15" hidden="false" customHeight="false" outlineLevel="0" collapsed="false">
      <c r="E3" s="30" t="s">
        <v>606</v>
      </c>
      <c r="F3" s="29" t="n">
        <f aca="false">IF(COUNTA($C$8:$C$26)=0,"",COUNTIF($G$8:$G$26,"Sí")/COUNTA($C$8:$C$26))</f>
        <v>0</v>
      </c>
    </row>
    <row r="5" customFormat="false" ht="18.75" hidden="false" customHeight="true" outlineLevel="0" collapsed="false">
      <c r="A5" s="7" t="s">
        <v>607</v>
      </c>
      <c r="B5" s="7"/>
      <c r="C5" s="7"/>
      <c r="D5" s="7"/>
      <c r="E5" s="7"/>
      <c r="F5" s="7"/>
      <c r="G5" s="7"/>
      <c r="H5" s="7"/>
    </row>
    <row r="6" customFormat="false" ht="29.25" hidden="false" customHeight="true" outlineLevel="0" collapsed="false">
      <c r="A6" s="37" t="s">
        <v>184</v>
      </c>
      <c r="B6" s="36" t="s">
        <v>608</v>
      </c>
      <c r="C6" s="36"/>
      <c r="D6" s="36"/>
      <c r="E6" s="36"/>
      <c r="F6" s="36"/>
      <c r="G6" s="36"/>
      <c r="H6" s="36"/>
    </row>
    <row r="7" customFormat="false" ht="33.75" hidden="false" customHeight="true" outlineLevel="0" collapsed="false">
      <c r="A7" s="8" t="s">
        <v>109</v>
      </c>
      <c r="B7" s="8" t="s">
        <v>609</v>
      </c>
      <c r="C7" s="8" t="s">
        <v>610</v>
      </c>
      <c r="D7" s="8" t="s">
        <v>611</v>
      </c>
      <c r="E7" s="8" t="s">
        <v>115</v>
      </c>
      <c r="F7" s="8" t="s">
        <v>612</v>
      </c>
      <c r="G7" s="8" t="s">
        <v>613</v>
      </c>
      <c r="H7" s="8" t="s">
        <v>116</v>
      </c>
    </row>
    <row r="8" customFormat="false" ht="30" hidden="false" customHeight="true" outlineLevel="0" collapsed="false">
      <c r="A8" s="31" t="n">
        <v>1</v>
      </c>
      <c r="B8" s="9" t="s">
        <v>614</v>
      </c>
      <c r="C8" s="10" t="s">
        <v>615</v>
      </c>
      <c r="D8" s="73" t="s">
        <v>616</v>
      </c>
      <c r="E8" s="34"/>
      <c r="F8" s="34"/>
      <c r="G8" s="33"/>
      <c r="H8" s="34"/>
    </row>
    <row r="9" customFormat="false" ht="30" hidden="false" customHeight="true" outlineLevel="0" collapsed="false">
      <c r="A9" s="31" t="n">
        <v>2</v>
      </c>
      <c r="B9" s="9" t="s">
        <v>614</v>
      </c>
      <c r="C9" s="10" t="s">
        <v>617</v>
      </c>
      <c r="D9" s="73" t="s">
        <v>616</v>
      </c>
      <c r="E9" s="34"/>
      <c r="F9" s="34"/>
      <c r="G9" s="33"/>
      <c r="H9" s="34"/>
    </row>
    <row r="10" customFormat="false" ht="30" hidden="false" customHeight="true" outlineLevel="0" collapsed="false">
      <c r="A10" s="31" t="n">
        <v>3</v>
      </c>
      <c r="B10" s="9" t="s">
        <v>614</v>
      </c>
      <c r="C10" s="10" t="s">
        <v>618</v>
      </c>
      <c r="D10" s="73" t="s">
        <v>616</v>
      </c>
      <c r="E10" s="34"/>
      <c r="F10" s="34"/>
      <c r="G10" s="33"/>
      <c r="H10" s="34"/>
    </row>
    <row r="11" customFormat="false" ht="30" hidden="false" customHeight="true" outlineLevel="0" collapsed="false">
      <c r="A11" s="31" t="n">
        <v>4</v>
      </c>
      <c r="B11" s="9" t="s">
        <v>614</v>
      </c>
      <c r="C11" s="10" t="s">
        <v>619</v>
      </c>
      <c r="D11" s="73" t="s">
        <v>616</v>
      </c>
      <c r="E11" s="34"/>
      <c r="F11" s="34"/>
      <c r="G11" s="33"/>
      <c r="H11" s="34"/>
    </row>
    <row r="12" customFormat="false" ht="30" hidden="false" customHeight="true" outlineLevel="0" collapsed="false">
      <c r="A12" s="31" t="n">
        <v>5</v>
      </c>
      <c r="B12" s="9" t="s">
        <v>614</v>
      </c>
      <c r="C12" s="10" t="s">
        <v>620</v>
      </c>
      <c r="D12" s="73" t="s">
        <v>616</v>
      </c>
      <c r="E12" s="34"/>
      <c r="F12" s="34"/>
      <c r="G12" s="33"/>
      <c r="H12" s="34"/>
    </row>
    <row r="13" customFormat="false" ht="30" hidden="false" customHeight="true" outlineLevel="0" collapsed="false">
      <c r="A13" s="31" t="n">
        <v>6</v>
      </c>
      <c r="B13" s="9" t="s">
        <v>614</v>
      </c>
      <c r="C13" s="10" t="s">
        <v>621</v>
      </c>
      <c r="D13" s="73" t="s">
        <v>616</v>
      </c>
      <c r="E13" s="34"/>
      <c r="F13" s="34"/>
      <c r="G13" s="33"/>
      <c r="H13" s="34"/>
    </row>
    <row r="14" customFormat="false" ht="30" hidden="false" customHeight="true" outlineLevel="0" collapsed="false">
      <c r="A14" s="31" t="n">
        <v>7</v>
      </c>
      <c r="B14" s="9" t="s">
        <v>614</v>
      </c>
      <c r="C14" s="10" t="s">
        <v>622</v>
      </c>
      <c r="D14" s="73" t="s">
        <v>623</v>
      </c>
      <c r="E14" s="34"/>
      <c r="F14" s="34"/>
      <c r="G14" s="33"/>
      <c r="H14" s="34"/>
    </row>
    <row r="15" customFormat="false" ht="30" hidden="false" customHeight="true" outlineLevel="0" collapsed="false">
      <c r="A15" s="31" t="n">
        <v>8</v>
      </c>
      <c r="B15" s="9" t="s">
        <v>614</v>
      </c>
      <c r="C15" s="10" t="s">
        <v>624</v>
      </c>
      <c r="D15" s="73" t="s">
        <v>623</v>
      </c>
      <c r="E15" s="34"/>
      <c r="F15" s="34"/>
      <c r="G15" s="33"/>
      <c r="H15" s="34"/>
    </row>
    <row r="16" customFormat="false" ht="30" hidden="false" customHeight="true" outlineLevel="0" collapsed="false">
      <c r="A16" s="31" t="n">
        <v>9</v>
      </c>
      <c r="B16" s="9" t="s">
        <v>614</v>
      </c>
      <c r="C16" s="10" t="s">
        <v>625</v>
      </c>
      <c r="D16" s="73" t="s">
        <v>616</v>
      </c>
      <c r="E16" s="34"/>
      <c r="F16" s="34"/>
      <c r="G16" s="33"/>
      <c r="H16" s="34"/>
    </row>
    <row r="17" customFormat="false" ht="30" hidden="false" customHeight="true" outlineLevel="0" collapsed="false">
      <c r="A17" s="31" t="n">
        <v>10</v>
      </c>
      <c r="B17" s="9" t="s">
        <v>614</v>
      </c>
      <c r="C17" s="10" t="s">
        <v>626</v>
      </c>
      <c r="D17" s="73" t="s">
        <v>623</v>
      </c>
      <c r="E17" s="34"/>
      <c r="F17" s="34"/>
      <c r="G17" s="33"/>
      <c r="H17" s="34"/>
    </row>
    <row r="18" customFormat="false" ht="30" hidden="false" customHeight="true" outlineLevel="0" collapsed="false">
      <c r="A18" s="31" t="n">
        <v>11</v>
      </c>
      <c r="B18" s="9" t="s">
        <v>627</v>
      </c>
      <c r="C18" s="10" t="s">
        <v>628</v>
      </c>
      <c r="D18" s="73" t="s">
        <v>629</v>
      </c>
      <c r="E18" s="34"/>
      <c r="F18" s="34"/>
      <c r="G18" s="33"/>
      <c r="H18" s="34"/>
    </row>
    <row r="19" customFormat="false" ht="30" hidden="false" customHeight="true" outlineLevel="0" collapsed="false">
      <c r="A19" s="31" t="n">
        <v>12</v>
      </c>
      <c r="B19" s="9" t="s">
        <v>627</v>
      </c>
      <c r="C19" s="10" t="s">
        <v>630</v>
      </c>
      <c r="D19" s="73" t="s">
        <v>623</v>
      </c>
      <c r="E19" s="34"/>
      <c r="F19" s="34"/>
      <c r="G19" s="33"/>
      <c r="H19" s="34"/>
    </row>
    <row r="20" customFormat="false" ht="30" hidden="false" customHeight="true" outlineLevel="0" collapsed="false">
      <c r="A20" s="31" t="n">
        <v>13</v>
      </c>
      <c r="B20" s="9" t="s">
        <v>599</v>
      </c>
      <c r="C20" s="10" t="s">
        <v>631</v>
      </c>
      <c r="D20" s="73" t="s">
        <v>623</v>
      </c>
      <c r="E20" s="34"/>
      <c r="F20" s="34"/>
      <c r="G20" s="33"/>
      <c r="H20" s="34"/>
    </row>
    <row r="21" customFormat="false" ht="30" hidden="false" customHeight="true" outlineLevel="0" collapsed="false">
      <c r="A21" s="31" t="n">
        <v>14</v>
      </c>
      <c r="B21" s="9" t="s">
        <v>599</v>
      </c>
      <c r="C21" s="10" t="s">
        <v>632</v>
      </c>
      <c r="D21" s="73" t="s">
        <v>623</v>
      </c>
      <c r="E21" s="34"/>
      <c r="F21" s="34"/>
      <c r="G21" s="33"/>
      <c r="H21" s="34"/>
    </row>
    <row r="22" customFormat="false" ht="30" hidden="false" customHeight="true" outlineLevel="0" collapsed="false">
      <c r="A22" s="31" t="n">
        <v>15</v>
      </c>
      <c r="B22" s="9" t="s">
        <v>599</v>
      </c>
      <c r="C22" s="10" t="s">
        <v>633</v>
      </c>
      <c r="D22" s="73" t="s">
        <v>623</v>
      </c>
      <c r="E22" s="34"/>
      <c r="F22" s="34"/>
      <c r="G22" s="33"/>
      <c r="H22" s="34"/>
    </row>
    <row r="23" customFormat="false" ht="30" hidden="false" customHeight="true" outlineLevel="0" collapsed="false">
      <c r="A23" s="31" t="n">
        <v>16</v>
      </c>
      <c r="B23" s="9" t="s">
        <v>634</v>
      </c>
      <c r="C23" s="10" t="s">
        <v>635</v>
      </c>
      <c r="D23" s="73" t="s">
        <v>616</v>
      </c>
      <c r="E23" s="34"/>
      <c r="F23" s="34"/>
      <c r="G23" s="33"/>
      <c r="H23" s="34"/>
    </row>
    <row r="24" customFormat="false" ht="30" hidden="false" customHeight="true" outlineLevel="0" collapsed="false">
      <c r="A24" s="31" t="n">
        <v>17</v>
      </c>
      <c r="B24" s="9" t="s">
        <v>634</v>
      </c>
      <c r="C24" s="10" t="s">
        <v>636</v>
      </c>
      <c r="D24" s="73" t="s">
        <v>623</v>
      </c>
      <c r="E24" s="34"/>
      <c r="F24" s="34"/>
      <c r="G24" s="33"/>
      <c r="H24" s="34"/>
    </row>
    <row r="25" customFormat="false" ht="30" hidden="false" customHeight="true" outlineLevel="0" collapsed="false">
      <c r="A25" s="31" t="n">
        <v>18</v>
      </c>
      <c r="B25" s="9" t="s">
        <v>637</v>
      </c>
      <c r="C25" s="10" t="s">
        <v>638</v>
      </c>
      <c r="D25" s="73" t="s">
        <v>639</v>
      </c>
      <c r="E25" s="34"/>
      <c r="F25" s="34"/>
      <c r="G25" s="33"/>
      <c r="H25" s="34"/>
    </row>
    <row r="26" customFormat="false" ht="30" hidden="false" customHeight="true" outlineLevel="0" collapsed="false">
      <c r="A26" s="31" t="n">
        <v>19</v>
      </c>
      <c r="B26" s="9" t="s">
        <v>640</v>
      </c>
      <c r="C26" s="10" t="s">
        <v>641</v>
      </c>
      <c r="D26" s="73" t="s">
        <v>623</v>
      </c>
      <c r="E26" s="34"/>
      <c r="F26" s="34"/>
      <c r="G26" s="33"/>
      <c r="H26" s="34"/>
    </row>
    <row r="28" customFormat="false" ht="30.75" hidden="false" customHeight="true" outlineLevel="0" collapsed="false">
      <c r="A28" s="18" t="s">
        <v>642</v>
      </c>
      <c r="B28" s="18"/>
      <c r="C28" s="18"/>
      <c r="D28" s="18"/>
      <c r="E28" s="18"/>
      <c r="F28" s="18"/>
      <c r="G28" s="18"/>
      <c r="H28" s="18"/>
    </row>
  </sheetData>
  <mergeCells count="5">
    <mergeCell ref="A1:H1"/>
    <mergeCell ref="A2:H2"/>
    <mergeCell ref="A5:H5"/>
    <mergeCell ref="B6:H6"/>
    <mergeCell ref="A28:H28"/>
  </mergeCells>
  <conditionalFormatting sqref="G8:G26">
    <cfRule type="cellIs" priority="2" operator="equal" aboveAverage="0" equalAverage="0" bottom="0" percent="0" rank="0" text="" dxfId="2">
      <formula>"Sí"</formula>
    </cfRule>
  </conditionalFormatting>
  <dataValidations count="3">
    <dataValidation allowBlank="true" error="Elige una de la lista." errorStyle="stop" errorTitle="Opción no válida" operator="between" prompt="Marca Sí solo cuando tengas el archivo en la mano y abra correctamente." promptTitle="¿Ya lo recibiste?" showDropDown="false" showErrorMessage="false" showInputMessage="true" sqref="G8:G26" type="list">
      <formula1>"Sí,No,Parcial"</formula1>
      <formula2>0</formula2>
    </dataValidation>
    <dataValidation allowBlank="true" errorStyle="stop" operator="between" prompt="Nombre y cargo de quien se comprometió a entregarlo. Sin nombre no hay compromiso." promptTitle="Responsable" showDropDown="false" showErrorMessage="false" showInputMessage="true" sqref="E8:E26" type="none">
      <formula1>0</formula1>
      <formula2>0</formula2>
    </dataValidation>
    <dataValidation allowBlank="true" errorStyle="stop" operator="between" prompt="Fecha que acordaron. Formato DD/MM/AAAA." promptTitle="Fecha compromiso" showDropDown="false" showErrorMessage="false" showInputMessage="true" sqref="F8:F26" type="non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4C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5" min="5" style="0" width="42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12"/>
  </cols>
  <sheetData>
    <row r="1" customFormat="false" ht="25.5" hidden="false" customHeight="true" outlineLevel="0" collapsed="false">
      <c r="A1" s="19" t="s">
        <v>643</v>
      </c>
      <c r="B1" s="19"/>
      <c r="C1" s="19"/>
      <c r="D1" s="19"/>
      <c r="E1" s="19"/>
      <c r="F1" s="19"/>
      <c r="G1" s="19"/>
      <c r="H1" s="19"/>
    </row>
    <row r="2" customFormat="false" ht="15.75" hidden="false" customHeight="true" outlineLevel="0" collapsed="false">
      <c r="A2" s="20" t="s">
        <v>644</v>
      </c>
      <c r="B2" s="20"/>
      <c r="C2" s="20"/>
      <c r="D2" s="20"/>
      <c r="E2" s="20"/>
      <c r="F2" s="20"/>
      <c r="G2" s="20"/>
      <c r="H2" s="20"/>
    </row>
    <row r="4" customFormat="false" ht="18.75" hidden="false" customHeight="true" outlineLevel="0" collapsed="false">
      <c r="A4" s="4" t="s">
        <v>645</v>
      </c>
      <c r="B4" s="4"/>
      <c r="C4" s="4"/>
      <c r="D4" s="4"/>
      <c r="E4" s="4"/>
      <c r="F4" s="4"/>
      <c r="G4" s="4"/>
      <c r="H4" s="4"/>
    </row>
    <row r="5" customFormat="false" ht="29.25" hidden="false" customHeight="true" outlineLevel="0" collapsed="false">
      <c r="A5" s="39" t="s">
        <v>646</v>
      </c>
      <c r="B5" s="36" t="s">
        <v>647</v>
      </c>
      <c r="C5" s="36"/>
      <c r="D5" s="36"/>
      <c r="E5" s="36"/>
      <c r="F5" s="36"/>
      <c r="G5" s="36"/>
      <c r="H5" s="36"/>
    </row>
    <row r="6" customFormat="false" ht="16.5" hidden="false" customHeight="true" outlineLevel="0" collapsed="false">
      <c r="A6" s="74" t="s">
        <v>648</v>
      </c>
      <c r="B6" s="36" t="s">
        <v>649</v>
      </c>
      <c r="C6" s="36"/>
      <c r="D6" s="36"/>
      <c r="E6" s="36"/>
      <c r="F6" s="36"/>
      <c r="G6" s="36"/>
      <c r="H6" s="36"/>
    </row>
    <row r="8" customFormat="false" ht="33.75" hidden="false" customHeight="true" outlineLevel="0" collapsed="false">
      <c r="A8" s="8" t="s">
        <v>109</v>
      </c>
      <c r="B8" s="8" t="s">
        <v>650</v>
      </c>
      <c r="C8" s="8" t="s">
        <v>651</v>
      </c>
      <c r="D8" s="8" t="s">
        <v>652</v>
      </c>
      <c r="E8" s="8" t="s">
        <v>653</v>
      </c>
      <c r="F8" s="8" t="s">
        <v>654</v>
      </c>
      <c r="G8" s="8" t="s">
        <v>655</v>
      </c>
      <c r="H8" s="8" t="s">
        <v>380</v>
      </c>
    </row>
    <row r="9" customFormat="false" ht="24" hidden="false" customHeight="true" outlineLevel="0" collapsed="false">
      <c r="A9" s="40" t="s">
        <v>298</v>
      </c>
      <c r="B9" s="40" t="s">
        <v>656</v>
      </c>
      <c r="C9" s="40" t="s">
        <v>657</v>
      </c>
      <c r="D9" s="40" t="s">
        <v>658</v>
      </c>
      <c r="E9" s="40" t="s">
        <v>659</v>
      </c>
      <c r="F9" s="40" t="s">
        <v>9</v>
      </c>
      <c r="G9" s="40" t="s">
        <v>660</v>
      </c>
      <c r="H9" s="40" t="s">
        <v>396</v>
      </c>
    </row>
    <row r="10" customFormat="false" ht="31.5" hidden="false" customHeight="true" outlineLevel="0" collapsed="false">
      <c r="A10" s="31" t="n">
        <v>1</v>
      </c>
      <c r="B10" s="34"/>
      <c r="C10" s="34"/>
      <c r="D10" s="34"/>
      <c r="E10" s="34"/>
      <c r="F10" s="34"/>
      <c r="G10" s="33"/>
      <c r="H10" s="33"/>
    </row>
    <row r="11" customFormat="false" ht="31.5" hidden="false" customHeight="true" outlineLevel="0" collapsed="false">
      <c r="A11" s="31" t="n">
        <v>2</v>
      </c>
      <c r="B11" s="34"/>
      <c r="C11" s="34"/>
      <c r="D11" s="34"/>
      <c r="E11" s="34"/>
      <c r="F11" s="34"/>
      <c r="G11" s="33"/>
      <c r="H11" s="33"/>
    </row>
    <row r="12" customFormat="false" ht="31.5" hidden="false" customHeight="true" outlineLevel="0" collapsed="false">
      <c r="A12" s="31" t="n">
        <v>3</v>
      </c>
      <c r="B12" s="34"/>
      <c r="C12" s="34"/>
      <c r="D12" s="34"/>
      <c r="E12" s="34"/>
      <c r="F12" s="34"/>
      <c r="G12" s="33"/>
      <c r="H12" s="33"/>
    </row>
    <row r="13" customFormat="false" ht="31.5" hidden="false" customHeight="true" outlineLevel="0" collapsed="false">
      <c r="A13" s="31" t="n">
        <v>4</v>
      </c>
      <c r="B13" s="34"/>
      <c r="C13" s="34"/>
      <c r="D13" s="34"/>
      <c r="E13" s="34"/>
      <c r="F13" s="34"/>
      <c r="G13" s="33"/>
      <c r="H13" s="33"/>
    </row>
    <row r="14" customFormat="false" ht="31.5" hidden="false" customHeight="true" outlineLevel="0" collapsed="false">
      <c r="A14" s="31" t="n">
        <v>5</v>
      </c>
      <c r="B14" s="34"/>
      <c r="C14" s="34"/>
      <c r="D14" s="34"/>
      <c r="E14" s="34"/>
      <c r="F14" s="34"/>
      <c r="G14" s="33"/>
      <c r="H14" s="33"/>
    </row>
    <row r="15" customFormat="false" ht="31.5" hidden="false" customHeight="true" outlineLevel="0" collapsed="false">
      <c r="A15" s="31" t="n">
        <v>6</v>
      </c>
      <c r="B15" s="34"/>
      <c r="C15" s="34"/>
      <c r="D15" s="34"/>
      <c r="E15" s="34"/>
      <c r="F15" s="34"/>
      <c r="G15" s="33"/>
      <c r="H15" s="33"/>
    </row>
    <row r="16" customFormat="false" ht="31.5" hidden="false" customHeight="true" outlineLevel="0" collapsed="false">
      <c r="A16" s="31" t="n">
        <v>7</v>
      </c>
      <c r="B16" s="34"/>
      <c r="C16" s="34"/>
      <c r="D16" s="34"/>
      <c r="E16" s="34"/>
      <c r="F16" s="34"/>
      <c r="G16" s="33"/>
      <c r="H16" s="33"/>
    </row>
    <row r="17" customFormat="false" ht="31.5" hidden="false" customHeight="true" outlineLevel="0" collapsed="false">
      <c r="A17" s="31" t="n">
        <v>8</v>
      </c>
      <c r="B17" s="34"/>
      <c r="C17" s="34"/>
      <c r="D17" s="34"/>
      <c r="E17" s="34"/>
      <c r="F17" s="34"/>
      <c r="G17" s="33"/>
      <c r="H17" s="33"/>
    </row>
    <row r="18" customFormat="false" ht="31.5" hidden="false" customHeight="true" outlineLevel="0" collapsed="false">
      <c r="A18" s="31" t="n">
        <v>9</v>
      </c>
      <c r="B18" s="34"/>
      <c r="C18" s="34"/>
      <c r="D18" s="34"/>
      <c r="E18" s="34"/>
      <c r="F18" s="34"/>
      <c r="G18" s="33"/>
      <c r="H18" s="33"/>
    </row>
    <row r="19" customFormat="false" ht="31.5" hidden="false" customHeight="true" outlineLevel="0" collapsed="false">
      <c r="A19" s="31" t="n">
        <v>10</v>
      </c>
      <c r="B19" s="34"/>
      <c r="C19" s="34"/>
      <c r="D19" s="34"/>
      <c r="E19" s="34"/>
      <c r="F19" s="34"/>
      <c r="G19" s="33"/>
      <c r="H19" s="33"/>
    </row>
    <row r="20" customFormat="false" ht="31.5" hidden="false" customHeight="true" outlineLevel="0" collapsed="false">
      <c r="A20" s="31" t="n">
        <v>11</v>
      </c>
      <c r="B20" s="34"/>
      <c r="C20" s="34"/>
      <c r="D20" s="34"/>
      <c r="E20" s="34"/>
      <c r="F20" s="34"/>
      <c r="G20" s="33"/>
      <c r="H20" s="33"/>
    </row>
    <row r="21" customFormat="false" ht="31.5" hidden="false" customHeight="true" outlineLevel="0" collapsed="false">
      <c r="A21" s="31" t="n">
        <v>12</v>
      </c>
      <c r="B21" s="34"/>
      <c r="C21" s="34"/>
      <c r="D21" s="34"/>
      <c r="E21" s="34"/>
      <c r="F21" s="34"/>
      <c r="G21" s="33"/>
      <c r="H21" s="33"/>
    </row>
    <row r="22" customFormat="false" ht="31.5" hidden="false" customHeight="true" outlineLevel="0" collapsed="false">
      <c r="A22" s="31" t="n">
        <v>13</v>
      </c>
      <c r="B22" s="34"/>
      <c r="C22" s="34"/>
      <c r="D22" s="34"/>
      <c r="E22" s="34"/>
      <c r="F22" s="34"/>
      <c r="G22" s="33"/>
      <c r="H22" s="33"/>
    </row>
    <row r="23" customFormat="false" ht="31.5" hidden="false" customHeight="true" outlineLevel="0" collapsed="false">
      <c r="A23" s="31" t="n">
        <v>14</v>
      </c>
      <c r="B23" s="34"/>
      <c r="C23" s="34"/>
      <c r="D23" s="34"/>
      <c r="E23" s="34"/>
      <c r="F23" s="34"/>
      <c r="G23" s="33"/>
      <c r="H23" s="33"/>
    </row>
    <row r="24" customFormat="false" ht="31.5" hidden="false" customHeight="true" outlineLevel="0" collapsed="false">
      <c r="A24" s="31" t="n">
        <v>15</v>
      </c>
      <c r="B24" s="34"/>
      <c r="C24" s="34"/>
      <c r="D24" s="34"/>
      <c r="E24" s="34"/>
      <c r="F24" s="34"/>
      <c r="G24" s="33"/>
      <c r="H24" s="33"/>
    </row>
    <row r="26" customFormat="false" ht="30.75" hidden="false" customHeight="true" outlineLevel="0" collapsed="false">
      <c r="A26" s="18" t="s">
        <v>661</v>
      </c>
      <c r="B26" s="18"/>
      <c r="C26" s="18"/>
      <c r="D26" s="18"/>
      <c r="E26" s="18"/>
      <c r="F26" s="18"/>
      <c r="G26" s="18"/>
      <c r="H26" s="18"/>
    </row>
  </sheetData>
  <mergeCells count="6">
    <mergeCell ref="A1:H1"/>
    <mergeCell ref="A2:H2"/>
    <mergeCell ref="A4:H4"/>
    <mergeCell ref="B5:H5"/>
    <mergeCell ref="B6:H6"/>
    <mergeCell ref="A26:H26"/>
  </mergeCells>
  <conditionalFormatting sqref="H10:H24">
    <cfRule type="cellIs" priority="2" operator="equal" aboveAverage="0" equalAverage="0" bottom="0" percent="0" rank="0" text="" dxfId="0">
      <formula>"Alta"</formula>
    </cfRule>
  </conditionalFormatting>
  <dataValidations count="7">
    <dataValidation allowBlank="true" error="Elige una de la lista." errorStyle="stop" errorTitle="Opción no válida" operator="between" prompt="Alta = bloquea otras mejoras o cuesta dinero todos los días. Empieza por exactitud de inventario y por sincronización de despacho." promptTitle="Prioridad" showDropDown="false" showErrorMessage="false" showInputMessage="true" sqref="H10:H24" type="list">
      <formula1>"Alta,Media,Baja"</formula1>
      <formula2>0</formula2>
    </dataValidation>
    <dataValidation allowBlank="true" errorStyle="stop" operator="between" prompt="Un hecho con número. Si no tiene cifra, todavía no es un hallazgo." promptTitle="Hallazgo" showDropDown="false" showErrorMessage="false" showInputMessage="true" sqref="B10:B24" type="none">
      <formula1>0</formula1>
      <formula2>0</formula2>
    </dataValidation>
    <dataValidation allowBlank="true" errorStyle="stop" operator="between" prompt="De dónde sale: hoja del archivo, foto con hora, planilla, o quién lo dijo." promptTitle="Evidencia" showDropDown="false" showErrorMessage="false" showInputMessage="true" sqref="C10:C24" type="none">
      <formula1>0</formula1>
      <formula2>0</formula2>
    </dataValidation>
    <dataValidation allowBlank="true" errorStyle="stop" operator="between" prompt="Tu hipótesis, marcada como hipótesis. Se confirma con los datos que pediste." promptTitle="Causa probable" showDropDown="false" showErrorMessage="false" showInputMessage="true" sqref="D10:D24" type="none">
      <formula1>0</formula1>
      <formula2>0</formula2>
    </dataValidation>
    <dataValidation allowBlank="true" errorStyle="stop" operator="between" prompt="Qué se hace concretamente. Verbo en infinitivo y alcance claro." promptTitle="Acción propuesta" showDropDown="false" showErrorMessage="false" showInputMessage="true" sqref="E10:E24" type="none">
      <formula1>0</formula1>
      <formula2>0</formula2>
    </dataValidation>
    <dataValidation allowBlank="true" errorStyle="stop" operator="between" prompt="Una sola persona con nombre. Un dueño compartido es un dueño ausente." promptTitle="Dueño" showDropDown="false" showErrorMessage="false" showInputMessage="true" sqref="F10:F24" type="none">
      <formula1>0</formula1>
      <formula2>0</formula2>
    </dataValidation>
    <dataValidation allowBlank="true" errorStyle="stop" operator="between" prompt="Fecha comprometida, formato DD/MM/AAAA." promptTitle="Fecha" showDropDown="false" showErrorMessage="false" showInputMessage="true" sqref="G10:G24" type="non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E7A86"/>
    <pageSetUpPr fitToPage="tru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60"/>
  </cols>
  <sheetData>
    <row r="1" customFormat="false" ht="25.5" hidden="false" customHeight="true" outlineLevel="0" collapsed="false">
      <c r="A1" s="19" t="s">
        <v>662</v>
      </c>
      <c r="B1" s="19"/>
      <c r="C1" s="19"/>
    </row>
    <row r="2" customFormat="false" ht="15.75" hidden="false" customHeight="true" outlineLevel="0" collapsed="false">
      <c r="A2" s="20" t="s">
        <v>663</v>
      </c>
      <c r="B2" s="20"/>
      <c r="C2" s="20"/>
    </row>
    <row r="4" customFormat="false" ht="33.75" hidden="false" customHeight="true" outlineLevel="0" collapsed="false">
      <c r="A4" s="8" t="s">
        <v>664</v>
      </c>
      <c r="B4" s="8" t="s">
        <v>65</v>
      </c>
      <c r="C4" s="8" t="s">
        <v>665</v>
      </c>
    </row>
    <row r="5" customFormat="false" ht="30" hidden="false" customHeight="true" outlineLevel="0" collapsed="false">
      <c r="A5" s="75" t="s">
        <v>666</v>
      </c>
      <c r="B5" s="10" t="s">
        <v>667</v>
      </c>
      <c r="C5" s="32" t="s">
        <v>668</v>
      </c>
    </row>
    <row r="6" customFormat="false" ht="30" hidden="false" customHeight="true" outlineLevel="0" collapsed="false">
      <c r="A6" s="75" t="s">
        <v>293</v>
      </c>
      <c r="B6" s="10" t="s">
        <v>669</v>
      </c>
      <c r="C6" s="32" t="s">
        <v>670</v>
      </c>
    </row>
    <row r="7" customFormat="false" ht="30" hidden="false" customHeight="true" outlineLevel="0" collapsed="false">
      <c r="A7" s="75" t="s">
        <v>671</v>
      </c>
      <c r="B7" s="10" t="s">
        <v>672</v>
      </c>
      <c r="C7" s="32" t="s">
        <v>673</v>
      </c>
    </row>
    <row r="8" customFormat="false" ht="30" hidden="false" customHeight="true" outlineLevel="0" collapsed="false">
      <c r="A8" s="75" t="s">
        <v>674</v>
      </c>
      <c r="B8" s="10" t="s">
        <v>675</v>
      </c>
      <c r="C8" s="32" t="s">
        <v>676</v>
      </c>
    </row>
    <row r="9" customFormat="false" ht="30" hidden="false" customHeight="true" outlineLevel="0" collapsed="false">
      <c r="A9" s="75" t="s">
        <v>677</v>
      </c>
      <c r="B9" s="10" t="s">
        <v>678</v>
      </c>
      <c r="C9" s="32" t="s">
        <v>679</v>
      </c>
    </row>
    <row r="10" customFormat="false" ht="30" hidden="false" customHeight="true" outlineLevel="0" collapsed="false">
      <c r="A10" s="75" t="s">
        <v>680</v>
      </c>
      <c r="B10" s="10" t="s">
        <v>681</v>
      </c>
      <c r="C10" s="32" t="s">
        <v>682</v>
      </c>
    </row>
    <row r="11" customFormat="false" ht="30" hidden="false" customHeight="true" outlineLevel="0" collapsed="false">
      <c r="A11" s="75" t="s">
        <v>683</v>
      </c>
      <c r="B11" s="10" t="s">
        <v>684</v>
      </c>
      <c r="C11" s="32" t="s">
        <v>685</v>
      </c>
    </row>
    <row r="12" customFormat="false" ht="30" hidden="false" customHeight="true" outlineLevel="0" collapsed="false">
      <c r="A12" s="75" t="s">
        <v>686</v>
      </c>
      <c r="B12" s="10" t="s">
        <v>687</v>
      </c>
      <c r="C12" s="32" t="s">
        <v>688</v>
      </c>
    </row>
    <row r="13" customFormat="false" ht="30" hidden="false" customHeight="true" outlineLevel="0" collapsed="false">
      <c r="A13" s="75" t="s">
        <v>689</v>
      </c>
      <c r="B13" s="10" t="s">
        <v>690</v>
      </c>
      <c r="C13" s="32" t="s">
        <v>691</v>
      </c>
    </row>
    <row r="14" customFormat="false" ht="30" hidden="false" customHeight="true" outlineLevel="0" collapsed="false">
      <c r="A14" s="75" t="s">
        <v>692</v>
      </c>
      <c r="B14" s="10" t="s">
        <v>693</v>
      </c>
      <c r="C14" s="32" t="s">
        <v>694</v>
      </c>
    </row>
    <row r="15" customFormat="false" ht="30" hidden="false" customHeight="true" outlineLevel="0" collapsed="false">
      <c r="A15" s="75" t="s">
        <v>695</v>
      </c>
      <c r="B15" s="10" t="s">
        <v>696</v>
      </c>
      <c r="C15" s="32" t="s">
        <v>697</v>
      </c>
    </row>
    <row r="16" customFormat="false" ht="30" hidden="false" customHeight="true" outlineLevel="0" collapsed="false">
      <c r="A16" s="75" t="s">
        <v>698</v>
      </c>
      <c r="B16" s="10" t="s">
        <v>699</v>
      </c>
      <c r="C16" s="32" t="s">
        <v>700</v>
      </c>
    </row>
    <row r="17" customFormat="false" ht="30" hidden="false" customHeight="true" outlineLevel="0" collapsed="false">
      <c r="A17" s="75" t="s">
        <v>701</v>
      </c>
      <c r="B17" s="10" t="s">
        <v>702</v>
      </c>
      <c r="C17" s="32" t="s">
        <v>703</v>
      </c>
    </row>
    <row r="18" customFormat="false" ht="30" hidden="false" customHeight="true" outlineLevel="0" collapsed="false">
      <c r="A18" s="75" t="s">
        <v>526</v>
      </c>
      <c r="B18" s="10" t="s">
        <v>704</v>
      </c>
      <c r="C18" s="32" t="s">
        <v>705</v>
      </c>
    </row>
    <row r="19" customFormat="false" ht="30" hidden="false" customHeight="true" outlineLevel="0" collapsed="false">
      <c r="A19" s="75" t="s">
        <v>706</v>
      </c>
      <c r="B19" s="10" t="s">
        <v>707</v>
      </c>
      <c r="C19" s="32" t="s">
        <v>708</v>
      </c>
    </row>
    <row r="20" customFormat="false" ht="30" hidden="false" customHeight="true" outlineLevel="0" collapsed="false">
      <c r="A20" s="75" t="s">
        <v>709</v>
      </c>
      <c r="B20" s="10" t="s">
        <v>710</v>
      </c>
      <c r="C20" s="32" t="s">
        <v>711</v>
      </c>
    </row>
    <row r="21" customFormat="false" ht="30" hidden="false" customHeight="true" outlineLevel="0" collapsed="false">
      <c r="A21" s="75" t="s">
        <v>712</v>
      </c>
      <c r="B21" s="10" t="s">
        <v>713</v>
      </c>
      <c r="C21" s="32" t="s">
        <v>714</v>
      </c>
    </row>
    <row r="22" customFormat="false" ht="30" hidden="false" customHeight="true" outlineLevel="0" collapsed="false">
      <c r="A22" s="75" t="s">
        <v>715</v>
      </c>
      <c r="B22" s="10" t="s">
        <v>716</v>
      </c>
      <c r="C22" s="32" t="s">
        <v>717</v>
      </c>
    </row>
    <row r="23" customFormat="false" ht="30" hidden="false" customHeight="true" outlineLevel="0" collapsed="false">
      <c r="A23" s="75" t="s">
        <v>718</v>
      </c>
      <c r="B23" s="10" t="s">
        <v>719</v>
      </c>
      <c r="C23" s="32" t="s">
        <v>720</v>
      </c>
    </row>
    <row r="24" customFormat="false" ht="30" hidden="false" customHeight="true" outlineLevel="0" collapsed="false">
      <c r="A24" s="75" t="s">
        <v>721</v>
      </c>
      <c r="B24" s="10" t="s">
        <v>722</v>
      </c>
      <c r="C24" s="32" t="s">
        <v>723</v>
      </c>
    </row>
    <row r="25" customFormat="false" ht="30" hidden="false" customHeight="true" outlineLevel="0" collapsed="false">
      <c r="A25" s="75" t="s">
        <v>724</v>
      </c>
      <c r="B25" s="10" t="s">
        <v>725</v>
      </c>
      <c r="C25" s="32" t="s">
        <v>726</v>
      </c>
    </row>
    <row r="26" customFormat="false" ht="30" hidden="false" customHeight="true" outlineLevel="0" collapsed="false">
      <c r="A26" s="75" t="s">
        <v>727</v>
      </c>
      <c r="B26" s="10" t="s">
        <v>728</v>
      </c>
      <c r="C26" s="32" t="s">
        <v>729</v>
      </c>
    </row>
    <row r="27" customFormat="false" ht="30" hidden="false" customHeight="true" outlineLevel="0" collapsed="false">
      <c r="A27" s="75" t="s">
        <v>730</v>
      </c>
      <c r="B27" s="10" t="s">
        <v>731</v>
      </c>
      <c r="C27" s="32" t="s">
        <v>732</v>
      </c>
    </row>
    <row r="28" customFormat="false" ht="30" hidden="false" customHeight="true" outlineLevel="0" collapsed="false">
      <c r="A28" s="75" t="s">
        <v>733</v>
      </c>
      <c r="B28" s="10" t="s">
        <v>734</v>
      </c>
      <c r="C28" s="32" t="s">
        <v>735</v>
      </c>
    </row>
    <row r="29" customFormat="false" ht="30" hidden="false" customHeight="true" outlineLevel="0" collapsed="false">
      <c r="A29" s="75" t="s">
        <v>736</v>
      </c>
      <c r="B29" s="10" t="s">
        <v>737</v>
      </c>
      <c r="C29" s="32" t="s">
        <v>738</v>
      </c>
    </row>
    <row r="30" customFormat="false" ht="30" hidden="false" customHeight="true" outlineLevel="0" collapsed="false">
      <c r="A30" s="75" t="s">
        <v>739</v>
      </c>
      <c r="B30" s="10" t="s">
        <v>740</v>
      </c>
      <c r="C30" s="32" t="s">
        <v>741</v>
      </c>
    </row>
    <row r="31" customFormat="false" ht="30" hidden="false" customHeight="true" outlineLevel="0" collapsed="false">
      <c r="A31" s="75" t="s">
        <v>742</v>
      </c>
      <c r="B31" s="10" t="s">
        <v>743</v>
      </c>
      <c r="C31" s="32" t="s">
        <v>744</v>
      </c>
    </row>
    <row r="32" customFormat="false" ht="30" hidden="false" customHeight="true" outlineLevel="0" collapsed="false">
      <c r="A32" s="75" t="s">
        <v>745</v>
      </c>
      <c r="B32" s="10" t="s">
        <v>746</v>
      </c>
      <c r="C32" s="32" t="s">
        <v>747</v>
      </c>
    </row>
    <row r="33" customFormat="false" ht="30" hidden="false" customHeight="true" outlineLevel="0" collapsed="false">
      <c r="A33" s="75" t="s">
        <v>748</v>
      </c>
      <c r="B33" s="10" t="s">
        <v>749</v>
      </c>
      <c r="C33" s="32" t="s">
        <v>750</v>
      </c>
    </row>
    <row r="34" customFormat="false" ht="30" hidden="false" customHeight="true" outlineLevel="0" collapsed="false">
      <c r="A34" s="75" t="s">
        <v>751</v>
      </c>
      <c r="B34" s="10" t="s">
        <v>752</v>
      </c>
      <c r="C34" s="32" t="s">
        <v>753</v>
      </c>
    </row>
    <row r="35" customFormat="false" ht="30" hidden="false" customHeight="true" outlineLevel="0" collapsed="false">
      <c r="A35" s="75" t="s">
        <v>754</v>
      </c>
      <c r="B35" s="10" t="s">
        <v>755</v>
      </c>
      <c r="C35" s="32" t="s">
        <v>756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2026-08-24T12:48:44Z</dcterms:created>
  <dc:creator>openpyxl</dc:creator>
  <dc:description/>
  <dc:language>en-US</dc:language>
  <cp:lastModifiedBy/>
  <dcterms:modified xsi:type="dcterms:W3CDTF">2026-08-24T12:48:45Z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