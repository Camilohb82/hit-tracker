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Resumen" sheetId="2" state="visible" r:id="rId4"/>
    <sheet name="1 Checklist" sheetId="3" state="visible" r:id="rId5"/>
    <sheet name="2 Ocupación" sheetId="4" state="visible" r:id="rId6"/>
    <sheet name="3 Ciclo picking" sheetId="5" state="visible" r:id="rId7"/>
    <sheet name="4 Conteo ciego" sheetId="6" state="visible" r:id="rId8"/>
    <sheet name="5 Muestreo" sheetId="7" state="visible" r:id="rId9"/>
    <sheet name="6 Vehículos" sheetId="8" state="visible" r:id="rId10"/>
    <sheet name="7 Pallets en piso" sheetId="9" state="visible" r:id="rId11"/>
    <sheet name="8 Agotados" sheetId="10" state="visible" r:id="rId12"/>
    <sheet name="9 Preguntas" sheetId="11" state="visible" r:id="rId13"/>
    <sheet name="10 Solicitud dat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<sst xmlns="http://schemas.openxmlformats.org/spreadsheetml/2006/main" count="335" uniqueCount="268">
  <si>
    <t xml:space="preserve">EVALUACIÓN OPERATIVA — CEDI MADRID</t>
  </si>
  <si>
    <t xml:space="preserve">Formato de captura en piso — Día 1</t>
  </si>
  <si>
    <t xml:space="preserve">Hoy no se diagnostica: se captura evidencia propia que después nadie pueda discutir. Diligencia solo las celdas amarillas; las grises se calculan solas. La hoja Resumen se llena automáticamente a medida que avanzas.</t>
  </si>
  <si>
    <t xml:space="preserve">DATOS DE LA VISITA</t>
  </si>
  <si>
    <t xml:space="preserve">Centro de distribución</t>
  </si>
  <si>
    <t xml:space="preserve">CEDI Madrid</t>
  </si>
  <si>
    <t xml:space="preserve">Fecha de la visita</t>
  </si>
  <si>
    <t xml:space="preserve">Responsable de la evaluación</t>
  </si>
  <si>
    <t xml:space="preserve">Jefe del CEDI</t>
  </si>
  <si>
    <t xml:space="preserve">Turno observado</t>
  </si>
  <si>
    <t xml:space="preserve">Hora de corte de pedidos</t>
  </si>
  <si>
    <t xml:space="preserve">Hora de salida del último camión</t>
  </si>
  <si>
    <t xml:space="preserve">Día de la semana</t>
  </si>
  <si>
    <t xml:space="preserve">CÓMO SE USA</t>
  </si>
  <si>
    <t xml:space="preserve">Amarillo</t>
  </si>
  <si>
    <t xml:space="preserve">Celdas que diligencias tú en piso.</t>
  </si>
  <si>
    <t xml:space="preserve">Gris claro</t>
  </si>
  <si>
    <t xml:space="preserve">Se calculan automáticamente. No las escribas.</t>
  </si>
  <si>
    <t xml:space="preserve">Fila EJEMPLO</t>
  </si>
  <si>
    <t xml:space="preserve">Muestra el formato esperado. Déjala o bórrala, no entra en los totales.</t>
  </si>
  <si>
    <t xml:space="preserve">Orden sugerido</t>
  </si>
  <si>
    <t xml:space="preserve">1 Checklist → arranca los relojes (etiquetas, portería, conteo ciego) → recorre a contracorriente → captura en las hojas 2 a 8 → cierra con 9 y 10.</t>
  </si>
  <si>
    <t xml:space="preserve">Resumen</t>
  </si>
  <si>
    <t xml:space="preserve">Se actualiza solo. Es lo que muestras al cierre del día.</t>
  </si>
  <si>
    <t xml:space="preserve">Nota sobre los valores de referencia: los cortes usados en este archivo (85–90% de ocupación, 50% de desplazamiento en el ciclo, 95% de ERI, 90 minutos de permanencia en muelle) son referencias de industria para CEDI de consumo masivo con WMS y radiofrecuencia. Sirven para leer lo que midas hoy; conviértelos en meta solo después de calibrarlos contra el histórico propio de Madrid.</t>
  </si>
  <si>
    <t xml:space="preserve">RESUMEN DEL DÍA</t>
  </si>
  <si>
    <t xml:space="preserve">Se llena automáticamente desde las hojas de captura. Es la evidencia que devuelves en la reunión de cierre.</t>
  </si>
  <si>
    <t xml:space="preserve">Indicador</t>
  </si>
  <si>
    <t xml:space="preserve">Resultado</t>
  </si>
  <si>
    <t xml:space="preserve">Referencia</t>
  </si>
  <si>
    <t xml:space="preserve">Lectura</t>
  </si>
  <si>
    <t xml:space="preserve">Ocupación de posiciones</t>
  </si>
  <si>
    <t xml:space="preserve">80% – 85%</t>
  </si>
  <si>
    <t xml:space="preserve">Capacidad fantasma (posiciones parciales)</t>
  </si>
  <si>
    <t xml:space="preserve">&lt; 10%</t>
  </si>
  <si>
    <t xml:space="preserve">Desplazamiento sobre el ciclo de alistamiento</t>
  </si>
  <si>
    <t xml:space="preserve">&lt; 40%</t>
  </si>
  <si>
    <t xml:space="preserve">ERI por ubicación (conteo ciego)</t>
  </si>
  <si>
    <t xml:space="preserve">&gt; 97%</t>
  </si>
  <si>
    <t xml:space="preserve">Tiempo que no agrega valor (muestreo)</t>
  </si>
  <si>
    <t xml:space="preserve">&lt; 35%</t>
  </si>
  <si>
    <t xml:space="preserve">Permanencia promedio de vehículo en muelle (min)</t>
  </si>
  <si>
    <t xml:space="preserve">&lt; 90 min</t>
  </si>
  <si>
    <t xml:space="preserve">Pallets en piso etiquetados hoy</t>
  </si>
  <si>
    <t xml:space="preserve">0</t>
  </si>
  <si>
    <t xml:space="preserve">Agotados internos de picking en el turno</t>
  </si>
  <si>
    <t xml:space="preserve">Avance del checklist del día</t>
  </si>
  <si>
    <t xml:space="preserve">100%</t>
  </si>
  <si>
    <t xml:space="preserve">Solicitud de datos entregada y recibida</t>
  </si>
  <si>
    <t xml:space="preserve">Con estas evidencias ya no dependes de que nadie te cuente qué pasa en Madrid: ocupación medida por ti, desplazamiento cronometrado, ERI de conteo ciego, muestreo de trabajo, pallets en piso con fecha puesta y la solicitud de datos entregada. En la reunión de cierre devuelve hechos con número, no opiniones.</t>
  </si>
  <si>
    <t xml:space="preserve">CHECKLIST DEL DÍA</t>
  </si>
  <si>
    <t xml:space="preserve">Marca Sí en la columna Hecho. El avance se calcula solo y se muestra en Resumen.</t>
  </si>
  <si>
    <t xml:space="preserve">Avance del checklist</t>
  </si>
  <si>
    <t xml:space="preserve">#</t>
  </si>
  <si>
    <t xml:space="preserve">Bloque</t>
  </si>
  <si>
    <t xml:space="preserve">Acción</t>
  </si>
  <si>
    <t xml:space="preserve">Hecho</t>
  </si>
  <si>
    <t xml:space="preserve">Hora</t>
  </si>
  <si>
    <t xml:space="preserve">Responsable</t>
  </si>
  <si>
    <t xml:space="preserve">Observación</t>
  </si>
  <si>
    <t xml:space="preserve">Antes de bajarte</t>
  </si>
  <si>
    <t xml:space="preserve">Reunión de apertura de 10 minutos, de pie. Nada de sala de juntas.</t>
  </si>
  <si>
    <t xml:space="preserve">Preguntar hora de corte de pedidos y hora del último camión.</t>
  </si>
  <si>
    <t xml:space="preserve">Anunciar en el primer minuto: se mide el proceso, no a las personas.</t>
  </si>
  <si>
    <t xml:space="preserve">Verificar EPP: botas, chaleco, casco si aplica.</t>
  </si>
  <si>
    <t xml:space="preserve">Primeros 30 min</t>
  </si>
  <si>
    <t xml:space="preserve">Etiquetar con fecha y hora cada pallet que esté en piso. Foto del conjunto.</t>
  </si>
  <si>
    <t xml:space="preserve">Abrir planilla en portería: placa, llegada, entrada a muelle, salida.</t>
  </si>
  <si>
    <t xml:space="preserve">Encargar conteo ciego de 100 ubicaciones elegidas por mí, no por ellos.</t>
  </si>
  <si>
    <t xml:space="preserve">Seis fotos con hora de puntos fijos (repetir en pico y al cierre).</t>
  </si>
  <si>
    <t xml:space="preserve">Recorrido</t>
  </si>
  <si>
    <t xml:space="preserve">Recorrer a contracorriente: del muelle de salida hacia atrás hasta recepción.</t>
  </si>
  <si>
    <t xml:space="preserve">Repetir el recorrido en el pico, antes del corte de pedidos.</t>
  </si>
  <si>
    <t xml:space="preserve">Mediciones</t>
  </si>
  <si>
    <t xml:space="preserve">Hoja 2 — Ocupación: contar 5 pasillos al azar.</t>
  </si>
  <si>
    <t xml:space="preserve">Hoja 3 — Ciclo de alistamiento: cronometrar 4 operarios, ciclo completo.</t>
  </si>
  <si>
    <t xml:space="preserve">Hoja 4 — Conteo ciego: registrar resultado y calcular ERI.</t>
  </si>
  <si>
    <t xml:space="preserve">Hoja 5 — Muestreo de trabajo: una ronda cada 20 minutos.</t>
  </si>
  <si>
    <t xml:space="preserve">Hoja 6 — Vehículos: recoger la planilla de portería.</t>
  </si>
  <si>
    <t xml:space="preserve">Hoja 7 — Pallets en piso: contar y fechar por zona.</t>
  </si>
  <si>
    <t xml:space="preserve">Hoja 8 — Agotados de picking: dejar el registro con un supervisor.</t>
  </si>
  <si>
    <t xml:space="preserve">Cierre</t>
  </si>
  <si>
    <t xml:space="preserve">Devolver tres hechos con número al jefe del CEDI. Sin opiniones.</t>
  </si>
  <si>
    <t xml:space="preserve">Entregar la solicitud de datos firmada, con responsable y fecha.</t>
  </si>
  <si>
    <t xml:space="preserve">Acordar una sola acción que empieza mañana y fijar la segunda visita.</t>
  </si>
  <si>
    <t xml:space="preserve">OCUPACIÓN REAL DE POSICIONES</t>
  </si>
  <si>
    <t xml:space="preserve">Elige 5 pasillos al azar — al azar de verdad, no los que te muestren. Parcial = una caja o medio pallet bloqueando una posición entera: el sistema la ve ocupada y no almacena nada.</t>
  </si>
  <si>
    <t xml:space="preserve">Pasillo / zona</t>
  </si>
  <si>
    <t xml:space="preserve">Ocupadas</t>
  </si>
  <si>
    <t xml:space="preserve">Parciales</t>
  </si>
  <si>
    <t xml:space="preserve">Vacías</t>
  </si>
  <si>
    <t xml:space="preserve">Total posiciones</t>
  </si>
  <si>
    <t xml:space="preserve">% Ocupación</t>
  </si>
  <si>
    <t xml:space="preserve">% Capacidad fantasma</t>
  </si>
  <si>
    <t xml:space="preserve">EJEMPLO — Pasillo 12</t>
  </si>
  <si>
    <t xml:space="preserve">TOTAL MUESTRA</t>
  </si>
  <si>
    <t xml:space="preserve">Lectura: por encima de 85% cada punto adicional de ocupación cuesta cada vez más, y por encima de 90% la operación entra en congestión — más doble manipulación, más búsqueda, más errores. Mientras estés ahí, cualquier medición de productividad que tomes está contaminada.</t>
  </si>
  <si>
    <t xml:space="preserve">CICLO DE ALISTAMIENTO</t>
  </si>
  <si>
    <t xml:space="preserve">Sigue a 4 operarios distintos, un ciclo completo cada uno. Cronómetro con dos tiempos separados: caminando y tomando producto (incluye chequear y rotular).</t>
  </si>
  <si>
    <t xml:space="preserve">Operario</t>
  </si>
  <si>
    <t xml:space="preserve">Zona</t>
  </si>
  <si>
    <t xml:space="preserve">Seg. caminando</t>
  </si>
  <si>
    <t xml:space="preserve">Seg. tomando</t>
  </si>
  <si>
    <t xml:space="preserve">Ciclo total (s)</t>
  </si>
  <si>
    <t xml:space="preserve">% desplazamiento</t>
  </si>
  <si>
    <t xml:space="preserve">Líneas del ciclo</t>
  </si>
  <si>
    <t xml:space="preserve">Seg. por línea</t>
  </si>
  <si>
    <t xml:space="preserve">No encontró</t>
  </si>
  <si>
    <t xml:space="preserve">Posición vacía</t>
  </si>
  <si>
    <t xml:space="preserve">Devolvió</t>
  </si>
  <si>
    <t xml:space="preserve">Preguntó</t>
  </si>
  <si>
    <t xml:space="preserve">¿Escaneó cada línea?</t>
  </si>
  <si>
    <t xml:space="preserve">EJEMPLO — J. Ramírez</t>
  </si>
  <si>
    <t xml:space="preserve">Picking A</t>
  </si>
  <si>
    <t xml:space="preserve">No</t>
  </si>
  <si>
    <t xml:space="preserve">PROMEDIO PONDERADO</t>
  </si>
  <si>
    <t xml:space="preserve">Lectura: si caminar pasa del 50% del ciclo, el problema es el slotting y no la gente — correr más rápido no arregla una ruta mal diseñada. Las columnas de incidencias (no encontró, posición vacía) apuntan a exactitud de inventario; si el operario se salta el escaneo, ningún control posterior va a sostener la calidad.</t>
  </si>
  <si>
    <t xml:space="preserve">CONTEO CIEGO — EXACTITUD DE INVENTARIO (ERI)</t>
  </si>
  <si>
    <t xml:space="preserve">100 ubicaciones elegidas por ti, no por ellos. A ciegas: quien cuenta no ve la cantidad del sistema. La columna Cant. sistema se llena DESPUÉS de contar.</t>
  </si>
  <si>
    <t xml:space="preserve">Ubicaciones contadas</t>
  </si>
  <si>
    <t xml:space="preserve">Exactas</t>
  </si>
  <si>
    <t xml:space="preserve">ERI por ubicación</t>
  </si>
  <si>
    <t xml:space="preserve">Ubicación</t>
  </si>
  <si>
    <t xml:space="preserve">SKU</t>
  </si>
  <si>
    <t xml:space="preserve">Cant. contada</t>
  </si>
  <si>
    <t xml:space="preserve">Cant. sistema</t>
  </si>
  <si>
    <t xml:space="preserve">¿Exacta?</t>
  </si>
  <si>
    <t xml:space="preserve">Diferencia</t>
  </si>
  <si>
    <t xml:space="preserve">EJ</t>
  </si>
  <si>
    <t xml:space="preserve">A-12-03-B</t>
  </si>
  <si>
    <t xml:space="preserve">SKU 100482</t>
  </si>
  <si>
    <t xml:space="preserve">MUESTREO DE TRABAJO</t>
  </si>
  <si>
    <t xml:space="preserve">Cada 20 minutos, desde un punto alto, anota qué hace cada persona que veas EN ESE INSTANTE. Sin juzgar, solo el instante. Diez a doce rondas dan una muestra válida.</t>
  </si>
  <si>
    <t xml:space="preserve">Ronda</t>
  </si>
  <si>
    <t xml:space="preserve">Persona / puesto</t>
  </si>
  <si>
    <t xml:space="preserve">Actividad</t>
  </si>
  <si>
    <t xml:space="preserve">Observaciones</t>
  </si>
  <si>
    <t xml:space="preserve">%</t>
  </si>
  <si>
    <t xml:space="preserve">09:20</t>
  </si>
  <si>
    <t xml:space="preserve">Picking pasillo 8</t>
  </si>
  <si>
    <t xml:space="preserve">Caminando</t>
  </si>
  <si>
    <t xml:space="preserve">Alistando</t>
  </si>
  <si>
    <t xml:space="preserve">Reabasteciendo</t>
  </si>
  <si>
    <t xml:space="preserve">Buscando</t>
  </si>
  <si>
    <t xml:space="preserve">Esperando</t>
  </si>
  <si>
    <t xml:space="preserve">Reprocesando</t>
  </si>
  <si>
    <t xml:space="preserve">Otro</t>
  </si>
  <si>
    <t xml:space="preserve">TOTAL OBSERVACIONES</t>
  </si>
  <si>
    <t xml:space="preserve">No agrega valor</t>
  </si>
  <si>
    <t xml:space="preserve">Referencia: en CEDI sin estándares de trabajo es normal encontrar 30–45% del tiempo en desplazamiento y 10–20% buscando. Es el dato que convierte “la gente no rinde” en “el diseño no deja rendir”.</t>
  </si>
  <si>
    <t xml:space="preserve">PERMANENCIA DE VEHÍCULOS EN MUELLE</t>
  </si>
  <si>
    <t xml:space="preserve">Planilla de portería. Escribe las horas en formato HH:MM (por ejemplo 08:15). Los minutos se calculan solos.</t>
  </si>
  <si>
    <t xml:space="preserve">Placa</t>
  </si>
  <si>
    <t xml:space="preserve">Transportista</t>
  </si>
  <si>
    <t xml:space="preserve">Hora llegada</t>
  </si>
  <si>
    <t xml:space="preserve">Hora entrada muelle</t>
  </si>
  <si>
    <t xml:space="preserve">Hora salida</t>
  </si>
  <si>
    <t xml:space="preserve">Espera (min)</t>
  </si>
  <si>
    <t xml:space="preserve">Cargue (min)</t>
  </si>
  <si>
    <t xml:space="preserve">Permanencia total (min)</t>
  </si>
  <si>
    <t xml:space="preserve">EJ — ABC123</t>
  </si>
  <si>
    <t xml:space="preserve">Transportes Norte</t>
  </si>
  <si>
    <t xml:space="preserve">07:40</t>
  </si>
  <si>
    <t xml:space="preserve">09:05</t>
  </si>
  <si>
    <t xml:space="preserve">10:20</t>
  </si>
  <si>
    <t xml:space="preserve">PROMEDIO</t>
  </si>
  <si>
    <t xml:space="preserve">Lectura: si la espera pesa más que el cargue, el cuello está en programación de citas y no en la operación de muelle. Permanencias sobre tres horas suelen significar staging saturado con pedidos ya alistados esperando vehículo.</t>
  </si>
  <si>
    <t xml:space="preserve">PALLETS EN PISO — PRUEBA DE LA ETIQUETA DE FECHA</t>
  </si>
  <si>
    <t xml:space="preserve">Etiqueta con fecha y hora cada pallet fuera de posición y cuéntalos por zona. Vuelve a las 48 horas: lo que siga ahí con la etiqueta original es el backlog real.</t>
  </si>
  <si>
    <t xml:space="preserve">N.º de pallets etiquetados</t>
  </si>
  <si>
    <t xml:space="preserve">Producto / descripción</t>
  </si>
  <si>
    <t xml:space="preserve">Fecha de la etiqueta</t>
  </si>
  <si>
    <t xml:space="preserve">¿Sigue ahí a las 48 h?</t>
  </si>
  <si>
    <t xml:space="preserve">EJ — Recepción</t>
  </si>
  <si>
    <t xml:space="preserve">Importado sin ubicar, 3 referencias</t>
  </si>
  <si>
    <t xml:space="preserve">24/08/2026</t>
  </si>
  <si>
    <t xml:space="preserve">Sí</t>
  </si>
  <si>
    <t xml:space="preserve">Recepción</t>
  </si>
  <si>
    <t xml:space="preserve">Staging de despacho</t>
  </si>
  <si>
    <t xml:space="preserve">Pasillos de maniobra</t>
  </si>
  <si>
    <t xml:space="preserve">Devoluciones</t>
  </si>
  <si>
    <t xml:space="preserve">Averías</t>
  </si>
  <si>
    <t xml:space="preserve">Cuarentena / pendiente calidad</t>
  </si>
  <si>
    <t xml:space="preserve">Cross-dock</t>
  </si>
  <si>
    <t xml:space="preserve">TOTAL PALLETS EN PISO</t>
  </si>
  <si>
    <t xml:space="preserve">AGOTADOS INTERNOS DE PICKING</t>
  </si>
  <si>
    <t xml:space="preserve">Cada vez que una posición de picking queda vacía con pedido pendiente. Déjalo con un supervisor para todo el turno: es la causa oculta número uno de baja productividad y casi nadie la mide.</t>
  </si>
  <si>
    <t xml:space="preserve">Minutos sin reabastecer</t>
  </si>
  <si>
    <t xml:space="preserve">Pedido afectado</t>
  </si>
  <si>
    <t xml:space="preserve">Turno</t>
  </si>
  <si>
    <t xml:space="preserve">10:35</t>
  </si>
  <si>
    <t xml:space="preserve">A-04-01-A</t>
  </si>
  <si>
    <t xml:space="preserve">PED-88213</t>
  </si>
  <si>
    <t xml:space="preserve">Mañana</t>
  </si>
  <si>
    <t xml:space="preserve">EVENTOS</t>
  </si>
  <si>
    <t xml:space="preserve">MINUTOS PERDIDOS</t>
  </si>
  <si>
    <t xml:space="preserve">BANCO DE PREGUNTAS</t>
  </si>
  <si>
    <t xml:space="preserve">A los operarios, sin el supervisor delante. No preguntes “¿por qué está tan lleno?”: te dan la respuesta ensayada.</t>
  </si>
  <si>
    <t xml:space="preserve">Interlocutor</t>
  </si>
  <si>
    <t xml:space="preserve">Pregunta</t>
  </si>
  <si>
    <t xml:space="preserve">Respuesta</t>
  </si>
  <si>
    <t xml:space="preserve">Qué revela</t>
  </si>
  <si>
    <t xml:space="preserve">¿Qué es lo que más tiempo le hace perder en el día?</t>
  </si>
  <si>
    <t xml:space="preserve">Nombra el desperdicio real, casi siempre antes que cualquier indicador.</t>
  </si>
  <si>
    <t xml:space="preserve">¿Cuántas veces al día no encuentra el producto donde dice el sistema?</t>
  </si>
  <si>
    <t xml:space="preserve">Estima el ERI sin esperar el conteo.</t>
  </si>
  <si>
    <t xml:space="preserve">Cuando se equivoca, ¿por qué cree que pasó?</t>
  </si>
  <si>
    <t xml:space="preserve">Distingue ambigüedad de diseño frente a falta de método.</t>
  </si>
  <si>
    <t xml:space="preserve">¿Cuántas líneas se supone que debe hacer por hora?</t>
  </si>
  <si>
    <t xml:space="preserve">Si no lo sabe, no hay estándar. Sin estándar no hay productividad que gestionar.</t>
  </si>
  <si>
    <t xml:space="preserve">¿Qué hay ahí que no debería estar?</t>
  </si>
  <si>
    <t xml:space="preserve">Señala inventario muerto y zonas sin dueño.</t>
  </si>
  <si>
    <t xml:space="preserve">¿Cuál es tu cuello de botella hoy?</t>
  </si>
  <si>
    <t xml:space="preserve">Si responde rápido y con un número, hay gestión. Si responde “todo”, no la hay.</t>
  </si>
  <si>
    <t xml:space="preserve">¿Cuántas posiciones tienes y cuántas están ocupadas en este momento?</t>
  </si>
  <si>
    <t xml:space="preserve">Contrasta contra tu conteo de la hoja 2.</t>
  </si>
  <si>
    <t xml:space="preserve">¿Qué pasa cuando un pedido no alcanza a salir?</t>
  </si>
  <si>
    <t xml:space="preserve">Revela si hay regla o improvisación.</t>
  </si>
  <si>
    <t xml:space="preserve">¿Cuándo fue el último re-slotting?</t>
  </si>
  <si>
    <t xml:space="preserve">Más de seis meses explica buena parte del desplazamiento.</t>
  </si>
  <si>
    <t xml:space="preserve">¿Cuánto se demora un camión desde que llega hasta que el producto queda disponible?</t>
  </si>
  <si>
    <t xml:space="preserve">Contrasta contra el dock-to-stock real.</t>
  </si>
  <si>
    <t xml:space="preserve">¿Se recibe en flujo o por lotes al final del turno?</t>
  </si>
  <si>
    <t xml:space="preserve">El lote al cierre es lo que deja producto en piso toda la noche.</t>
  </si>
  <si>
    <t xml:space="preserve">Despacho</t>
  </si>
  <si>
    <t xml:space="preserve">¿Qué los detiene más: esperar producto, esperar documento o esperar camión?</t>
  </si>
  <si>
    <t xml:space="preserve">Ubica el cuello sin necesidad de datos.</t>
  </si>
  <si>
    <t xml:space="preserve">Calidad / devoluciones</t>
  </si>
  <si>
    <t xml:space="preserve">¿Quién autoriza la disposición final y cuándo fue la última vez?</t>
  </si>
  <si>
    <t xml:space="preserve">Zona sin dueño ni fecha límite: ahí se acumula el espacio.</t>
  </si>
  <si>
    <t xml:space="preserve">Cualquiera</t>
  </si>
  <si>
    <t xml:space="preserve">Muéstrame el pallet más viejo que hay en piso.</t>
  </si>
  <si>
    <t xml:space="preserve">Sustituye a la pregunta “¿por qué está tan lleno?”.</t>
  </si>
  <si>
    <t xml:space="preserve">Muéstrame diez posiciones que no se hayan movido este mes.</t>
  </si>
  <si>
    <t xml:space="preserve">Caminando hacia allá ves más que con cualquier respuesta.</t>
  </si>
  <si>
    <t xml:space="preserve">SOLICITUD DE INFORMACIÓN</t>
  </si>
  <si>
    <t xml:space="preserve">Entrégala hoy, por escrito, con responsable y fecha. Período: últimas 13 semanas. Formato Excel o CSV plano, un registro por fila — sin tablas dinámicas ni consolidados.</t>
  </si>
  <si>
    <t xml:space="preserve">Avance de entrega</t>
  </si>
  <si>
    <t xml:space="preserve">Área</t>
  </si>
  <si>
    <t xml:space="preserve">Información solicitada</t>
  </si>
  <si>
    <t xml:space="preserve">Formato</t>
  </si>
  <si>
    <t xml:space="preserve">Fecha compromiso</t>
  </si>
  <si>
    <t xml:space="preserve">Recibido</t>
  </si>
  <si>
    <t xml:space="preserve">WMS / ERP</t>
  </si>
  <si>
    <t xml:space="preserve">Movimientos de salida a nivel de línea: fecha, hora, SKU, cantidad, ubicación, operario, pedido, cliente y ruta</t>
  </si>
  <si>
    <t xml:space="preserve">CSV plano</t>
  </si>
  <si>
    <t xml:space="preserve">Movimientos de entrada con hora de llegada del vehículo Y hora de ubicación del producto (dock-to-stock)</t>
  </si>
  <si>
    <t xml:space="preserve">Snapshot de inventario por ubicación, al cierre de hoy</t>
  </si>
  <si>
    <t xml:space="preserve">Maestro de ubicaciones: posiciones por zona y por tipo</t>
  </si>
  <si>
    <t xml:space="preserve">Excel</t>
  </si>
  <si>
    <t xml:space="preserve">Maestro de SKU: dimensiones, peso, empaque y paletización</t>
  </si>
  <si>
    <t xml:space="preserve">Trazabilidad de pedidos: creación, corte, liberación, fin de alistamiento y despacho</t>
  </si>
  <si>
    <t xml:space="preserve">Devoluciones y notas crédito con su causal</t>
  </si>
  <si>
    <t xml:space="preserve">Resultados de los últimos conteos cíclicos</t>
  </si>
  <si>
    <t xml:space="preserve">Gestión humana</t>
  </si>
  <si>
    <t xml:space="preserve">Headcount por turno y por función</t>
  </si>
  <si>
    <t xml:space="preserve">Horas ordinarias y horas extra por período</t>
  </si>
  <si>
    <t xml:space="preserve">Ausentismo, rotación y antigüedad promedio</t>
  </si>
  <si>
    <t xml:space="preserve">Transporte</t>
  </si>
  <si>
    <t xml:space="preserve">Vehículos programados frente a ejecutados</t>
  </si>
  <si>
    <t xml:space="preserve">Hora de llegada y de salida por vehículo</t>
  </si>
  <si>
    <t xml:space="preserve">Ocupación del vehículo despachado</t>
  </si>
  <si>
    <t xml:space="preserve">Sitio</t>
  </si>
  <si>
    <t xml:space="preserve">Layout a escala con zonas, muelles y pasillos</t>
  </si>
  <si>
    <t xml:space="preserve">PDF / DWG</t>
  </si>
  <si>
    <t xml:space="preserve">Finanzas</t>
  </si>
  <si>
    <t xml:space="preserve">Costo total del CEDI del último trimestre</t>
  </si>
  <si>
    <t xml:space="preserve">Si te mandan un reporte ya cocinado, no sirve: necesitas el detalle línea por línea. Un consolidado entrega promedios, y los promedios son precisamente donde se esconden el pico de las últimas tres horas antes del corte, el operario con menos de 90 días y los diez SKU que generan la mitad de los errores.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</si>
</sst>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"/>
    <numFmt numFmtId="167" formatCode="General"/>
    <numFmt numFmtId="168" formatCode="0.0"/>
    <numFmt numFmtId="169" formatCode="hh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A3A5C"/>
      <name val="Arial"/>
      <family val="0"/>
      <charset val="1"/>
    </font>
    <font>
      <sz val="11"/>
      <color rgb="FFB98400"/>
      <name val="Arial"/>
      <family val="0"/>
      <charset val="1"/>
    </font>
    <font>
      <sz val="10"/>
      <color rgb="FF4753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74818D"/>
      <name val="Arial"/>
      <family val="0"/>
      <charset val="1"/>
    </font>
    <font>
      <b val="true"/>
      <sz val="14"/>
      <color rgb="FF0A3A5C"/>
      <name val="Arial"/>
      <family val="0"/>
      <charset val="1"/>
    </font>
    <font>
      <sz val="9"/>
      <color rgb="FF4753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A3A5C"/>
      <name val="Arial"/>
      <family val="0"/>
      <charset val="1"/>
    </font>
    <font>
      <b val="true"/>
      <sz val="9"/>
      <color rgb="FFB98400"/>
      <name val="Arial"/>
      <family val="0"/>
      <charset val="1"/>
    </font>
    <font>
      <i val="true"/>
      <sz val="9"/>
      <color rgb="FF8A8F96"/>
      <name val="Arial"/>
      <family val="0"/>
      <charset val="1"/>
    </font>
    <font>
      <b val="true"/>
      <sz val="12"/>
      <color rgb="FF0A3A5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E4E7C"/>
        <bgColor rgb="FF0A3A5C"/>
      </patternFill>
    </fill>
    <fill>
      <patternFill patternType="solid">
        <fgColor rgb="FFE8ECEF"/>
        <bgColor rgb="FFDFEFE7"/>
      </patternFill>
    </fill>
    <fill>
      <patternFill patternType="solid">
        <fgColor rgb="FFFFF2CC"/>
        <bgColor rgb="FFF8EDD8"/>
      </patternFill>
    </fill>
    <fill>
      <patternFill patternType="solid">
        <fgColor rgb="FFF5F7F9"/>
        <bgColor rgb="FFFAFBFC"/>
      </patternFill>
    </fill>
    <fill>
      <patternFill patternType="solid">
        <fgColor rgb="FFFAFBFC"/>
        <bgColor rgb="FFFFFFFF"/>
      </patternFill>
    </fill>
    <fill>
      <patternFill patternType="solid">
        <fgColor rgb="FFFFFFFF"/>
        <bgColor rgb="FFFAFB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FEFE7"/>
        </patternFill>
      </fill>
    </dxf>
    <dxf>
      <font>
        <name val="Arial"/>
        <charset val="1"/>
        <family val="0"/>
        <b val="1"/>
        <color rgb="FFA32320"/>
        <sz val="11"/>
      </font>
      <fill>
        <patternFill>
          <bgColor rgb="FFF9E4E3"/>
        </patternFill>
      </fill>
    </dxf>
    <dxf>
      <fill>
        <patternFill>
          <bgColor rgb="FFF8EDD8"/>
        </patternFill>
      </fill>
    </dxf>
    <dxf>
      <font>
        <name val="Arial"/>
        <charset val="1"/>
        <family val="0"/>
        <b val="1"/>
        <color rgb="FFA32320"/>
        <sz val="10"/>
      </font>
      <fill>
        <patternFill>
          <bgColor rgb="FFF9E4E3"/>
        </patternFill>
      </fill>
    </dxf>
    <dxf>
      <font>
        <name val="Arial"/>
        <charset val="1"/>
        <family val="0"/>
        <b val="1"/>
        <color rgb="FFA32320"/>
        <sz val="12"/>
      </font>
      <fill>
        <patternFill>
          <bgColor rgb="FFF9E4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8400"/>
      <rgbColor rgb="FF800080"/>
      <rgbColor rgb="FF008080"/>
      <rgbColor rgb="FFBFC9D1"/>
      <rgbColor rgb="FF74818D"/>
      <rgbColor rgb="FF9999FF"/>
      <rgbColor rgb="FF993366"/>
      <rgbColor rgb="FFFFF2CC"/>
      <rgbColor rgb="FFDFEFE7"/>
      <rgbColor rgb="FF660066"/>
      <rgbColor rgb="FFFF8080"/>
      <rgbColor rgb="FF0066CC"/>
      <rgbColor rgb="FFFAFB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EF"/>
      <rgbColor rgb="FFF5F7F9"/>
      <rgbColor rgb="FFF8EDD8"/>
      <rgbColor rgb="FF99CCFF"/>
      <rgbColor rgb="FFFF99CC"/>
      <rgbColor rgb="FFCC99FF"/>
      <rgbColor rgb="FFF9E4E3"/>
      <rgbColor rgb="FF3366FF"/>
      <rgbColor rgb="FF33CCCC"/>
      <rgbColor rgb="FF99CC00"/>
      <rgbColor rgb="FFFFCC00"/>
      <rgbColor rgb="FFFF9900"/>
      <rgbColor rgb="FFFF6600"/>
      <rgbColor rgb="FF47535F"/>
      <rgbColor rgb="FF8A8F96"/>
      <rgbColor rgb="FF0A3A5C"/>
      <rgbColor rgb="FF339966"/>
      <rgbColor rgb="FF003300"/>
      <rgbColor rgb="FF333300"/>
      <rgbColor rgb="FFA32320"/>
      <rgbColor rgb="FF993366"/>
      <rgbColor rgb="FF0E4E7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40"/>
    <col collapsed="false" customWidth="true" hidden="false" outlineLevel="0" max="4" min="4" style="1" width="22"/>
    <col collapsed="false" customWidth="true" hidden="false" outlineLevel="0" max="5" min="5" style="1" width="3"/>
  </cols>
  <sheetData>
    <row r="2" customFormat="false" ht="30" hidden="false" customHeight="true" outlineLevel="0" collapsed="false">
      <c r="B2" s="2" t="s">
        <v>0</v>
      </c>
      <c r="C2" s="2"/>
      <c r="D2" s="2"/>
    </row>
    <row r="3" customFormat="false" ht="15" hidden="false" customHeight="true" outlineLevel="0" collapsed="false">
      <c r="B3" s="3" t="s">
        <v>1</v>
      </c>
      <c r="C3" s="3"/>
      <c r="D3" s="3"/>
    </row>
    <row r="5" customFormat="false" ht="15.75" hidden="false" customHeight="true" outlineLevel="0" collapsed="false">
      <c r="B5" s="4" t="s">
        <v>2</v>
      </c>
      <c r="C5" s="4"/>
      <c r="D5" s="4"/>
    </row>
    <row r="6" customFormat="false" ht="15" hidden="false" customHeight="true" outlineLevel="0" collapsed="false">
      <c r="B6" s="4"/>
      <c r="C6" s="4"/>
      <c r="D6" s="4"/>
    </row>
    <row r="8" customFormat="false" ht="19.5" hidden="false" customHeight="true" outlineLevel="0" collapsed="false">
      <c r="B8" s="5" t="s">
        <v>3</v>
      </c>
      <c r="C8" s="5"/>
      <c r="D8" s="5"/>
    </row>
    <row r="9" customFormat="false" ht="18" hidden="false" customHeight="true" outlineLevel="0" collapsed="false">
      <c r="B9" s="6" t="s">
        <v>4</v>
      </c>
      <c r="C9" s="7" t="s">
        <v>5</v>
      </c>
      <c r="D9" s="8"/>
    </row>
    <row r="10" customFormat="false" ht="18" hidden="false" customHeight="true" outlineLevel="0" collapsed="false">
      <c r="B10" s="6" t="s">
        <v>6</v>
      </c>
      <c r="C10" s="7"/>
      <c r="D10" s="8"/>
    </row>
    <row r="11" customFormat="false" ht="18" hidden="false" customHeight="true" outlineLevel="0" collapsed="false">
      <c r="B11" s="6" t="s">
        <v>7</v>
      </c>
      <c r="C11" s="7"/>
      <c r="D11" s="8"/>
    </row>
    <row r="12" customFormat="false" ht="18" hidden="false" customHeight="true" outlineLevel="0" collapsed="false">
      <c r="B12" s="6" t="s">
        <v>8</v>
      </c>
      <c r="C12" s="7"/>
      <c r="D12" s="8"/>
    </row>
    <row r="13" customFormat="false" ht="18" hidden="false" customHeight="true" outlineLevel="0" collapsed="false">
      <c r="B13" s="6" t="s">
        <v>9</v>
      </c>
      <c r="C13" s="7"/>
      <c r="D13" s="8"/>
    </row>
    <row r="14" customFormat="false" ht="18" hidden="false" customHeight="true" outlineLevel="0" collapsed="false">
      <c r="B14" s="6" t="s">
        <v>10</v>
      </c>
      <c r="C14" s="7"/>
      <c r="D14" s="8"/>
    </row>
    <row r="15" customFormat="false" ht="18" hidden="false" customHeight="true" outlineLevel="0" collapsed="false">
      <c r="B15" s="6" t="s">
        <v>11</v>
      </c>
      <c r="C15" s="7"/>
      <c r="D15" s="8"/>
    </row>
    <row r="16" customFormat="false" ht="18" hidden="false" customHeight="true" outlineLevel="0" collapsed="false">
      <c r="B16" s="6" t="s">
        <v>12</v>
      </c>
      <c r="C16" s="7"/>
      <c r="D16" s="8"/>
    </row>
    <row r="19" customFormat="false" ht="19.5" hidden="false" customHeight="true" outlineLevel="0" collapsed="false">
      <c r="B19" s="5" t="s">
        <v>13</v>
      </c>
      <c r="C19" s="5"/>
      <c r="D19" s="5"/>
    </row>
    <row r="20" customFormat="false" ht="27.75" hidden="false" customHeight="true" outlineLevel="0" collapsed="false">
      <c r="B20" s="6" t="s">
        <v>14</v>
      </c>
      <c r="C20" s="9" t="s">
        <v>15</v>
      </c>
      <c r="D20" s="8"/>
    </row>
    <row r="21" customFormat="false" ht="27.75" hidden="false" customHeight="true" outlineLevel="0" collapsed="false">
      <c r="B21" s="6" t="s">
        <v>16</v>
      </c>
      <c r="C21" s="9" t="s">
        <v>17</v>
      </c>
      <c r="D21" s="8"/>
    </row>
    <row r="22" customFormat="false" ht="27.75" hidden="false" customHeight="true" outlineLevel="0" collapsed="false">
      <c r="B22" s="6" t="s">
        <v>18</v>
      </c>
      <c r="C22" s="9" t="s">
        <v>19</v>
      </c>
      <c r="D22" s="8"/>
    </row>
    <row r="23" customFormat="false" ht="27.75" hidden="false" customHeight="true" outlineLevel="0" collapsed="false">
      <c r="B23" s="6" t="s">
        <v>20</v>
      </c>
      <c r="C23" s="9" t="s">
        <v>21</v>
      </c>
      <c r="D23" s="8"/>
    </row>
    <row r="24" customFormat="false" ht="27.75" hidden="false" customHeight="true" outlineLevel="0" collapsed="false">
      <c r="B24" s="6" t="s">
        <v>22</v>
      </c>
      <c r="C24" s="9" t="s">
        <v>23</v>
      </c>
      <c r="D24" s="8"/>
    </row>
    <row r="27" customFormat="false" ht="15" hidden="false" customHeight="true" outlineLevel="0" collapsed="false">
      <c r="B27" s="10" t="s">
        <v>24</v>
      </c>
      <c r="C27" s="10"/>
      <c r="D27" s="10"/>
    </row>
    <row r="28" customFormat="false" ht="15" hidden="false" customHeight="true" outlineLevel="0" collapsed="false">
      <c r="B28" s="10"/>
      <c r="C28" s="10"/>
      <c r="D28" s="10"/>
    </row>
    <row r="29" customFormat="false" ht="15" hidden="false" customHeight="true" outlineLevel="0" collapsed="false">
      <c r="B29" s="10"/>
      <c r="C29" s="10"/>
      <c r="D29" s="10"/>
    </row>
  </sheetData>
  <mergeCells count="6">
    <mergeCell ref="B2:D2"/>
    <mergeCell ref="B3:D3"/>
    <mergeCell ref="B5:D6"/>
    <mergeCell ref="B8:D8"/>
    <mergeCell ref="B19:D19"/>
    <mergeCell ref="B27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2"/>
  </cols>
  <sheetData>
    <row r="1" customFormat="false" ht="24" hidden="false" customHeight="true" outlineLevel="0" collapsed="false">
      <c r="A1" s="11" t="s">
        <v>25</v>
      </c>
      <c r="B1" s="11"/>
      <c r="C1" s="11"/>
      <c r="D1" s="11"/>
    </row>
    <row r="2" customFormat="false" ht="30" hidden="false" customHeight="true" outlineLevel="0" collapsed="false">
      <c r="A2" s="12" t="s">
        <v>26</v>
      </c>
      <c r="B2" s="12"/>
      <c r="C2" s="12"/>
      <c r="D2" s="12"/>
    </row>
    <row r="4" customFormat="false" ht="30" hidden="false" customHeight="true" outlineLevel="0" collapsed="false">
      <c r="A4" s="13" t="s">
        <v>27</v>
      </c>
      <c r="B4" s="13" t="s">
        <v>28</v>
      </c>
      <c r="C4" s="13" t="s">
        <v>29</v>
      </c>
      <c r="D4" s="13" t="s">
        <v>30</v>
      </c>
    </row>
    <row r="5" customFormat="false" ht="31.5" hidden="false" customHeight="true" outlineLevel="0" collapsed="false">
      <c r="A5" s="14" t="s">
        <v>31</v>
      </c>
      <c r="B5" s="15" t="str">
        <f aca="false">IF('2 Ocupación'!$F$16="","",'2 Ocupación'!$F$16)</f>
        <v/>
      </c>
      <c r="C5" s="16" t="s">
        <v>32</v>
      </c>
      <c r="D5" s="17" t="str">
        <f aca="false">IF($B5="","Pendiente de medir",IF($B5&gt;0.9,"CRÍTICO. Zona de congestión: la productividad que midas hoy está contaminada.",IF($B5&gt;0.85,"ATENCIÓN. En el límite; cada punto adicional ya cuesta caro.","OK. Si igual se siente lleno, el problema es de flujo, no de espacio.")))</f>
        <v>Pendiente de medir</v>
      </c>
    </row>
    <row r="6" customFormat="false" ht="31.5" hidden="false" customHeight="true" outlineLevel="0" collapsed="false">
      <c r="A6" s="18" t="s">
        <v>33</v>
      </c>
      <c r="B6" s="15" t="str">
        <f aca="false">IF('2 Ocupación'!$G$16="","",'2 Ocupación'!$G$16)</f>
        <v/>
      </c>
      <c r="C6" s="16" t="s">
        <v>34</v>
      </c>
      <c r="D6" s="17" t="str">
        <f aca="false">IF($B6="","Pendiente de medir",IF($B6&gt;0.15,"CRÍTICO. Posiciones que el sistema ve ocupadas y no almacenan nada.",IF($B6&gt;0.1,"ATENCIÓN. Consolidar parciales libera espacio sin comprar nada.","OK. Sin efecto panal relevante.")))</f>
        <v>Pendiente de medir</v>
      </c>
    </row>
    <row r="7" customFormat="false" ht="31.5" hidden="false" customHeight="true" outlineLevel="0" collapsed="false">
      <c r="A7" s="18" t="s">
        <v>35</v>
      </c>
      <c r="B7" s="15" t="str">
        <f aca="false">IF('3 Ciclo picking'!$F$14="","",'3 Ciclo picking'!$F$14)</f>
        <v/>
      </c>
      <c r="C7" s="16" t="s">
        <v>36</v>
      </c>
      <c r="D7" s="17" t="str">
        <f aca="false">IF($B7="","Pendiente de medir",IF($B7&gt;0.5,"CRÍTICO. El problema es el slotting, no la gente. Re-slotting antes que metas de velocidad.",IF($B7&gt;0.4,"ATENCIÓN. Vale un re-slotting de los SKU de mayor rotación.","OK. Busca la pérdida en búsqueda, espera o reproceso.")))</f>
        <v>Pendiente de medir</v>
      </c>
    </row>
    <row r="8" customFormat="false" ht="31.5" hidden="false" customHeight="true" outlineLevel="0" collapsed="false">
      <c r="A8" s="18" t="s">
        <v>37</v>
      </c>
      <c r="B8" s="15" t="str">
        <f aca="false">IF('4 Conteo ciego'!$F$4="","",'4 Conteo ciego'!$F$4)</f>
        <v/>
      </c>
      <c r="C8" s="16" t="s">
        <v>38</v>
      </c>
      <c r="D8" s="17" t="str">
        <f aca="false">IF($B8="","Pendiente de medir",IF($B8&lt;0.95,"CRÍTICO. Prioridad uno: exactitud de inventario antes de slotting, método o chequeo.",IF($B8&lt;0.97,"ATENCIÓN. Subir frecuencia de conteos cíclicos en zonas A.","OK. Los errores de despacho tienen otra causa; búscala en el Pareto.")))</f>
        <v>Pendiente de medir</v>
      </c>
    </row>
    <row r="9" customFormat="false" ht="31.5" hidden="false" customHeight="true" outlineLevel="0" collapsed="false">
      <c r="A9" s="18" t="s">
        <v>39</v>
      </c>
      <c r="B9" s="15" t="str">
        <f aca="false">IF('5 Muestreo'!$H$14="","",'5 Muestreo'!$H$14)</f>
        <v/>
      </c>
      <c r="C9" s="16" t="s">
        <v>40</v>
      </c>
      <c r="D9" s="17" t="str">
        <f aca="false">IF($B9="","Pendiente de medir",IF($B9&gt;0.5,"CRÍTICO. Más de la mitad del día no agrega valor. Es diseño, no esfuerzo.",IF($B9&gt;0.35,"ATENCIÓN. Rango habitual en CEDI sin estándares de trabajo.","OK. Operación con poco desperdicio visible.")))</f>
        <v>Pendiente de medir</v>
      </c>
    </row>
    <row r="10" customFormat="false" ht="31.5" hidden="false" customHeight="true" outlineLevel="0" collapsed="false">
      <c r="A10" s="18" t="s">
        <v>41</v>
      </c>
      <c r="B10" s="19" t="str">
        <f aca="false">IF('6 Vehículos'!$H$26="","",'6 Vehículos'!$H$26)</f>
        <v/>
      </c>
      <c r="C10" s="16" t="s">
        <v>42</v>
      </c>
      <c r="D10" s="17" t="str">
        <f aca="false">IF($B10="","Pendiente de medir",IF($B10&gt;180,"CRÍTICO. El cuello de botella está en muelle o staging, no en alistamiento.",IF($B10&gt;90,"ATENCIÓN. Revisar programación de citas y secuencia de cargue.","OK. Muelle fluido.")))</f>
        <v>Pendiente de medir</v>
      </c>
    </row>
    <row r="11" customFormat="false" ht="31.5" hidden="false" customHeight="true" outlineLevel="0" collapsed="false">
      <c r="A11" s="18" t="s">
        <v>43</v>
      </c>
      <c r="B11" s="19" t="str">
        <f aca="false">IF('7 Pallets en piso'!$B$16="","",'7 Pallets en piso'!$B$16)</f>
        <v/>
      </c>
      <c r="C11" s="16" t="s">
        <v>44</v>
      </c>
      <c r="D11" s="17" t="str">
        <f aca="false">IF($B11="","Pendiente de medir",IF($B11&gt;30,"CRÍTICO. Backlog físico grande. Verificar a las 48 h cuántos siguen ahí.",IF($B11&gt;0,"ATENCIÓN. Verificar a las 48 h cuáles no se movieron.","OK. Sin producto fuera de posición.")))</f>
        <v>Pendiente de medir</v>
      </c>
    </row>
    <row r="12" customFormat="false" ht="31.5" hidden="false" customHeight="true" outlineLevel="0" collapsed="false">
      <c r="A12" s="18" t="s">
        <v>45</v>
      </c>
      <c r="B12" s="19" t="str">
        <f aca="false">IF('8 Agotados'!$B$46="","",'8 Agotados'!$B$46)</f>
        <v/>
      </c>
      <c r="C12" s="16" t="s">
        <v>44</v>
      </c>
      <c r="D12" s="17" t="str">
        <f aca="false">IF($B12="","Pendiente de medir",IF($B12&gt;10,"CRÍTICO. El reabastecimiento va detrás del picking. Pasar a reabastecimiento en ola.",IF($B12&gt;0,"ATENCIÓN. Cuantificar minutos perdidos por evento.","OK. Reabastecimiento va adelante del picking.")))</f>
        <v>Pendiente de medir</v>
      </c>
    </row>
    <row r="13" customFormat="false" ht="31.5" hidden="false" customHeight="true" outlineLevel="0" collapsed="false">
      <c r="A13" s="18" t="s">
        <v>46</v>
      </c>
      <c r="B13" s="15" t="n">
        <f aca="false">IF('1 Checklist'!$D$3="","",'1 Checklist'!$D$3)</f>
        <v>0</v>
      </c>
      <c r="C13" s="16" t="s">
        <v>47</v>
      </c>
      <c r="D13" s="17" t="str">
        <f aca="false">IF($B13="","Sin iniciar",IF($B13&lt;1,"Quedan acciones pendientes antes de cerrar el día.","Checklist completo."))</f>
        <v>Quedan acciones pendientes antes de cerrar el día.</v>
      </c>
    </row>
    <row r="14" customFormat="false" ht="31.5" hidden="false" customHeight="true" outlineLevel="0" collapsed="false">
      <c r="A14" s="18" t="s">
        <v>48</v>
      </c>
      <c r="B14" s="15" t="n">
        <f aca="false">IF('10 Solicitud datos'!$G$3="","",'10 Solicitud datos'!$G$3)</f>
        <v>0</v>
      </c>
      <c r="C14" s="16" t="s">
        <v>47</v>
      </c>
      <c r="D14" s="17" t="str">
        <f aca="false">IF($B14="","Sin entregar",IF($B14&lt;1,"Pendiente: sin el dato crudo no hay análisis la próxima semana.","Información completa recibida."))</f>
        <v>Pendiente: sin el dato crudo no hay análisis la próxima semana.</v>
      </c>
    </row>
    <row r="17" customFormat="false" ht="15" hidden="false" customHeight="true" outlineLevel="0" collapsed="false">
      <c r="A17" s="10" t="s">
        <v>49</v>
      </c>
      <c r="B17" s="10"/>
      <c r="C17" s="10"/>
      <c r="D17" s="10"/>
    </row>
    <row r="18" customFormat="false" ht="15" hidden="false" customHeight="true" outlineLevel="0" collapsed="false">
      <c r="A18" s="10"/>
      <c r="B18" s="10"/>
      <c r="C18" s="10"/>
      <c r="D18" s="10"/>
    </row>
    <row r="19" customFormat="false" ht="15" hidden="false" customHeight="true" outlineLevel="0" collapsed="false">
      <c r="A19" s="10"/>
      <c r="B19" s="10"/>
      <c r="C19" s="10"/>
      <c r="D19" s="10"/>
    </row>
  </sheetData>
  <mergeCells count="3">
    <mergeCell ref="A1:D1"/>
    <mergeCell ref="A2:D2"/>
    <mergeCell ref="A17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60"/>
    <col collapsed="false" customWidth="true" hidden="false" outlineLevel="0" max="5" min="4" style="1" width="9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24" hidden="false" customHeight="true" outlineLevel="0" collapsed="false">
      <c r="A1" s="11" t="s">
        <v>50</v>
      </c>
      <c r="B1" s="11"/>
      <c r="C1" s="11"/>
      <c r="D1" s="11"/>
      <c r="E1" s="11"/>
      <c r="F1" s="11"/>
      <c r="G1" s="11"/>
    </row>
    <row r="2" customFormat="false" ht="30" hidden="false" customHeight="true" outlineLevel="0" collapsed="false">
      <c r="A2" s="12" t="s">
        <v>51</v>
      </c>
      <c r="B2" s="12"/>
      <c r="C2" s="12"/>
      <c r="D2" s="12"/>
      <c r="E2" s="12"/>
      <c r="F2" s="12"/>
      <c r="G2" s="12"/>
    </row>
    <row r="3" customFormat="false" ht="15" hidden="false" customHeight="true" outlineLevel="0" collapsed="false">
      <c r="C3" s="20" t="s">
        <v>52</v>
      </c>
      <c r="D3" s="21" t="n">
        <f aca="false">IF(COUNTA($C$6:$C$25)=0,"",COUNTIF($D$6:$D$25,"Sí")/COUNTA($C$6:$C$25))</f>
        <v>0</v>
      </c>
    </row>
    <row r="5" customFormat="false" ht="30" hidden="false" customHeight="true" outlineLevel="0" collapsed="false">
      <c r="A5" s="13" t="s">
        <v>53</v>
      </c>
      <c r="B5" s="13" t="s">
        <v>54</v>
      </c>
      <c r="C5" s="13" t="s">
        <v>55</v>
      </c>
      <c r="D5" s="13" t="s">
        <v>56</v>
      </c>
      <c r="E5" s="13" t="s">
        <v>57</v>
      </c>
      <c r="F5" s="13" t="s">
        <v>58</v>
      </c>
      <c r="G5" s="13" t="s">
        <v>59</v>
      </c>
    </row>
    <row r="6" customFormat="false" ht="25.5" hidden="false" customHeight="true" outlineLevel="0" collapsed="false">
      <c r="A6" s="22" t="n">
        <v>1</v>
      </c>
      <c r="B6" s="23" t="s">
        <v>60</v>
      </c>
      <c r="C6" s="9" t="s">
        <v>61</v>
      </c>
      <c r="D6" s="24"/>
      <c r="E6" s="25"/>
      <c r="F6" s="25"/>
      <c r="G6" s="25"/>
    </row>
    <row r="7" customFormat="false" ht="25.5" hidden="false" customHeight="true" outlineLevel="0" collapsed="false">
      <c r="A7" s="22" t="n">
        <v>2</v>
      </c>
      <c r="B7" s="23" t="s">
        <v>60</v>
      </c>
      <c r="C7" s="9" t="s">
        <v>62</v>
      </c>
      <c r="D7" s="24"/>
      <c r="E7" s="25"/>
      <c r="F7" s="25"/>
      <c r="G7" s="25"/>
    </row>
    <row r="8" customFormat="false" ht="25.5" hidden="false" customHeight="true" outlineLevel="0" collapsed="false">
      <c r="A8" s="22" t="n">
        <v>3</v>
      </c>
      <c r="B8" s="23" t="s">
        <v>60</v>
      </c>
      <c r="C8" s="9" t="s">
        <v>63</v>
      </c>
      <c r="D8" s="24"/>
      <c r="E8" s="25"/>
      <c r="F8" s="25"/>
      <c r="G8" s="25"/>
    </row>
    <row r="9" customFormat="false" ht="25.5" hidden="false" customHeight="true" outlineLevel="0" collapsed="false">
      <c r="A9" s="22" t="n">
        <v>4</v>
      </c>
      <c r="B9" s="23" t="s">
        <v>60</v>
      </c>
      <c r="C9" s="9" t="s">
        <v>64</v>
      </c>
      <c r="D9" s="24"/>
      <c r="E9" s="25"/>
      <c r="F9" s="25"/>
      <c r="G9" s="25"/>
    </row>
    <row r="10" customFormat="false" ht="25.5" hidden="false" customHeight="true" outlineLevel="0" collapsed="false">
      <c r="A10" s="22" t="n">
        <v>5</v>
      </c>
      <c r="B10" s="23" t="s">
        <v>65</v>
      </c>
      <c r="C10" s="9" t="s">
        <v>66</v>
      </c>
      <c r="D10" s="24"/>
      <c r="E10" s="25"/>
      <c r="F10" s="25"/>
      <c r="G10" s="25"/>
    </row>
    <row r="11" customFormat="false" ht="25.5" hidden="false" customHeight="true" outlineLevel="0" collapsed="false">
      <c r="A11" s="22" t="n">
        <v>6</v>
      </c>
      <c r="B11" s="23" t="s">
        <v>65</v>
      </c>
      <c r="C11" s="9" t="s">
        <v>67</v>
      </c>
      <c r="D11" s="24"/>
      <c r="E11" s="25"/>
      <c r="F11" s="25"/>
      <c r="G11" s="25"/>
    </row>
    <row r="12" customFormat="false" ht="25.5" hidden="false" customHeight="true" outlineLevel="0" collapsed="false">
      <c r="A12" s="22" t="n">
        <v>7</v>
      </c>
      <c r="B12" s="23" t="s">
        <v>65</v>
      </c>
      <c r="C12" s="9" t="s">
        <v>68</v>
      </c>
      <c r="D12" s="24"/>
      <c r="E12" s="25"/>
      <c r="F12" s="25"/>
      <c r="G12" s="25"/>
    </row>
    <row r="13" customFormat="false" ht="25.5" hidden="false" customHeight="true" outlineLevel="0" collapsed="false">
      <c r="A13" s="22" t="n">
        <v>8</v>
      </c>
      <c r="B13" s="23" t="s">
        <v>65</v>
      </c>
      <c r="C13" s="9" t="s">
        <v>69</v>
      </c>
      <c r="D13" s="24"/>
      <c r="E13" s="25"/>
      <c r="F13" s="25"/>
      <c r="G13" s="25"/>
    </row>
    <row r="14" customFormat="false" ht="25.5" hidden="false" customHeight="true" outlineLevel="0" collapsed="false">
      <c r="A14" s="22" t="n">
        <v>9</v>
      </c>
      <c r="B14" s="23" t="s">
        <v>70</v>
      </c>
      <c r="C14" s="9" t="s">
        <v>71</v>
      </c>
      <c r="D14" s="24"/>
      <c r="E14" s="25"/>
      <c r="F14" s="25"/>
      <c r="G14" s="25"/>
    </row>
    <row r="15" customFormat="false" ht="25.5" hidden="false" customHeight="true" outlineLevel="0" collapsed="false">
      <c r="A15" s="22" t="n">
        <v>10</v>
      </c>
      <c r="B15" s="23" t="s">
        <v>70</v>
      </c>
      <c r="C15" s="9" t="s">
        <v>72</v>
      </c>
      <c r="D15" s="24"/>
      <c r="E15" s="25"/>
      <c r="F15" s="25"/>
      <c r="G15" s="25"/>
    </row>
    <row r="16" customFormat="false" ht="25.5" hidden="false" customHeight="true" outlineLevel="0" collapsed="false">
      <c r="A16" s="22" t="n">
        <v>11</v>
      </c>
      <c r="B16" s="23" t="s">
        <v>73</v>
      </c>
      <c r="C16" s="9" t="s">
        <v>74</v>
      </c>
      <c r="D16" s="24"/>
      <c r="E16" s="25"/>
      <c r="F16" s="25"/>
      <c r="G16" s="25"/>
    </row>
    <row r="17" customFormat="false" ht="25.5" hidden="false" customHeight="true" outlineLevel="0" collapsed="false">
      <c r="A17" s="22" t="n">
        <v>12</v>
      </c>
      <c r="B17" s="23" t="s">
        <v>73</v>
      </c>
      <c r="C17" s="9" t="s">
        <v>75</v>
      </c>
      <c r="D17" s="24"/>
      <c r="E17" s="25"/>
      <c r="F17" s="25"/>
      <c r="G17" s="25"/>
    </row>
    <row r="18" customFormat="false" ht="25.5" hidden="false" customHeight="true" outlineLevel="0" collapsed="false">
      <c r="A18" s="22" t="n">
        <v>13</v>
      </c>
      <c r="B18" s="23" t="s">
        <v>73</v>
      </c>
      <c r="C18" s="9" t="s">
        <v>76</v>
      </c>
      <c r="D18" s="24"/>
      <c r="E18" s="25"/>
      <c r="F18" s="25"/>
      <c r="G18" s="25"/>
    </row>
    <row r="19" customFormat="false" ht="25.5" hidden="false" customHeight="true" outlineLevel="0" collapsed="false">
      <c r="A19" s="22" t="n">
        <v>14</v>
      </c>
      <c r="B19" s="23" t="s">
        <v>73</v>
      </c>
      <c r="C19" s="9" t="s">
        <v>77</v>
      </c>
      <c r="D19" s="24"/>
      <c r="E19" s="25"/>
      <c r="F19" s="25"/>
      <c r="G19" s="25"/>
    </row>
    <row r="20" customFormat="false" ht="25.5" hidden="false" customHeight="true" outlineLevel="0" collapsed="false">
      <c r="A20" s="22" t="n">
        <v>15</v>
      </c>
      <c r="B20" s="23" t="s">
        <v>73</v>
      </c>
      <c r="C20" s="9" t="s">
        <v>78</v>
      </c>
      <c r="D20" s="24"/>
      <c r="E20" s="25"/>
      <c r="F20" s="25"/>
      <c r="G20" s="25"/>
    </row>
    <row r="21" customFormat="false" ht="25.5" hidden="false" customHeight="true" outlineLevel="0" collapsed="false">
      <c r="A21" s="22" t="n">
        <v>16</v>
      </c>
      <c r="B21" s="23" t="s">
        <v>73</v>
      </c>
      <c r="C21" s="9" t="s">
        <v>79</v>
      </c>
      <c r="D21" s="24"/>
      <c r="E21" s="25"/>
      <c r="F21" s="25"/>
      <c r="G21" s="25"/>
    </row>
    <row r="22" customFormat="false" ht="25.5" hidden="false" customHeight="true" outlineLevel="0" collapsed="false">
      <c r="A22" s="22" t="n">
        <v>17</v>
      </c>
      <c r="B22" s="23" t="s">
        <v>73</v>
      </c>
      <c r="C22" s="9" t="s">
        <v>80</v>
      </c>
      <c r="D22" s="24"/>
      <c r="E22" s="25"/>
      <c r="F22" s="25"/>
      <c r="G22" s="25"/>
    </row>
    <row r="23" customFormat="false" ht="25.5" hidden="false" customHeight="true" outlineLevel="0" collapsed="false">
      <c r="A23" s="22" t="n">
        <v>18</v>
      </c>
      <c r="B23" s="23" t="s">
        <v>81</v>
      </c>
      <c r="C23" s="9" t="s">
        <v>82</v>
      </c>
      <c r="D23" s="24"/>
      <c r="E23" s="25"/>
      <c r="F23" s="25"/>
      <c r="G23" s="25"/>
    </row>
    <row r="24" customFormat="false" ht="25.5" hidden="false" customHeight="true" outlineLevel="0" collapsed="false">
      <c r="A24" s="22" t="n">
        <v>19</v>
      </c>
      <c r="B24" s="23" t="s">
        <v>81</v>
      </c>
      <c r="C24" s="9" t="s">
        <v>83</v>
      </c>
      <c r="D24" s="24"/>
      <c r="E24" s="25"/>
      <c r="F24" s="25"/>
      <c r="G24" s="25"/>
    </row>
    <row r="25" customFormat="false" ht="25.5" hidden="false" customHeight="true" outlineLevel="0" collapsed="false">
      <c r="A25" s="22" t="n">
        <v>20</v>
      </c>
      <c r="B25" s="23" t="s">
        <v>81</v>
      </c>
      <c r="C25" s="9" t="s">
        <v>84</v>
      </c>
      <c r="D25" s="24"/>
      <c r="E25" s="25"/>
      <c r="F25" s="25"/>
      <c r="G25" s="25"/>
    </row>
  </sheetData>
  <mergeCells count="2">
    <mergeCell ref="A1:G1"/>
    <mergeCell ref="A2:G2"/>
  </mergeCells>
  <conditionalFormatting sqref="D6:D25">
    <cfRule type="cellIs" priority="2" operator="equal" aboveAverage="0" equalAverage="0" bottom="0" percent="0" rank="0" text="" dxfId="0">
      <formula>"Sí"</formula>
    </cfRule>
  </conditionalFormatting>
  <dataValidations count="1">
    <dataValidation allowBlank="true" error="Selecciona Sí o No" errorStyle="stop" errorTitle="Valor no válido" operator="between" showDropDown="false" showErrorMessage="false" showInputMessage="false" sqref="D6:D2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4" min="2" style="1" width="12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7" min="7" style="1" width="18"/>
  </cols>
  <sheetData>
    <row r="1" customFormat="false" ht="24" hidden="false" customHeight="true" outlineLevel="0" collapsed="false">
      <c r="A1" s="11" t="s">
        <v>85</v>
      </c>
      <c r="B1" s="11"/>
      <c r="C1" s="11"/>
      <c r="D1" s="11"/>
      <c r="E1" s="11"/>
      <c r="F1" s="11"/>
      <c r="G1" s="11"/>
    </row>
    <row r="2" customFormat="false" ht="30" hidden="false" customHeight="true" outlineLevel="0" collapsed="false">
      <c r="A2" s="12" t="s">
        <v>86</v>
      </c>
      <c r="B2" s="12"/>
      <c r="C2" s="12"/>
      <c r="D2" s="12"/>
      <c r="E2" s="12"/>
      <c r="F2" s="12"/>
      <c r="G2" s="12"/>
    </row>
    <row r="4" customFormat="false" ht="30" hidden="false" customHeight="true" outlineLevel="0" collapsed="false">
      <c r="A4" s="13" t="s">
        <v>87</v>
      </c>
      <c r="B4" s="13" t="s">
        <v>88</v>
      </c>
      <c r="C4" s="13" t="s">
        <v>89</v>
      </c>
      <c r="D4" s="13" t="s">
        <v>90</v>
      </c>
      <c r="E4" s="13" t="s">
        <v>91</v>
      </c>
      <c r="F4" s="13" t="s">
        <v>92</v>
      </c>
      <c r="G4" s="13" t="s">
        <v>93</v>
      </c>
    </row>
    <row r="5" customFormat="false" ht="15" hidden="false" customHeight="true" outlineLevel="0" collapsed="false">
      <c r="A5" s="26" t="s">
        <v>94</v>
      </c>
      <c r="B5" s="26" t="n">
        <v>78</v>
      </c>
      <c r="C5" s="26" t="n">
        <v>14</v>
      </c>
      <c r="D5" s="26" t="n">
        <v>8</v>
      </c>
      <c r="E5" s="26" t="n">
        <f aca="false">IF(SUM(B5:D5)=0,"",SUM(B5:D5))</f>
        <v>100</v>
      </c>
      <c r="F5" s="27" t="n">
        <f aca="false">IF($E5="","",($B5+$C5)/$E5)</f>
        <v>0.92</v>
      </c>
      <c r="G5" s="27" t="n">
        <f aca="false">IF($E5="","",$C5/$E5)</f>
        <v>0.14</v>
      </c>
    </row>
    <row r="6" customFormat="false" ht="18" hidden="false" customHeight="true" outlineLevel="0" collapsed="false">
      <c r="A6" s="25"/>
      <c r="B6" s="24"/>
      <c r="C6" s="24"/>
      <c r="D6" s="24"/>
      <c r="E6" s="28" t="str">
        <f aca="false">IF(SUM(B6:D6)=0,"",SUM(B6:D6))</f>
        <v/>
      </c>
      <c r="F6" s="29" t="str">
        <f aca="false">IF($E6="","",($B6+$C6)/$E6)</f>
        <v/>
      </c>
      <c r="G6" s="29" t="str">
        <f aca="false">IF($E6="","",$C6/$E6)</f>
        <v/>
      </c>
    </row>
    <row r="7" customFormat="false" ht="18" hidden="false" customHeight="true" outlineLevel="0" collapsed="false">
      <c r="A7" s="25"/>
      <c r="B7" s="24"/>
      <c r="C7" s="24"/>
      <c r="D7" s="24"/>
      <c r="E7" s="28" t="str">
        <f aca="false">IF(SUM(B7:D7)=0,"",SUM(B7:D7))</f>
        <v/>
      </c>
      <c r="F7" s="29" t="str">
        <f aca="false">IF($E7="","",($B7+$C7)/$E7)</f>
        <v/>
      </c>
      <c r="G7" s="29" t="str">
        <f aca="false">IF($E7="","",$C7/$E7)</f>
        <v/>
      </c>
    </row>
    <row r="8" customFormat="false" ht="18" hidden="false" customHeight="true" outlineLevel="0" collapsed="false">
      <c r="A8" s="25"/>
      <c r="B8" s="24"/>
      <c r="C8" s="24"/>
      <c r="D8" s="24"/>
      <c r="E8" s="28" t="str">
        <f aca="false">IF(SUM(B8:D8)=0,"",SUM(B8:D8))</f>
        <v/>
      </c>
      <c r="F8" s="29" t="str">
        <f aca="false">IF($E8="","",($B8+$C8)/$E8)</f>
        <v/>
      </c>
      <c r="G8" s="29" t="str">
        <f aca="false">IF($E8="","",$C8/$E8)</f>
        <v/>
      </c>
    </row>
    <row r="9" customFormat="false" ht="18" hidden="false" customHeight="true" outlineLevel="0" collapsed="false">
      <c r="A9" s="25"/>
      <c r="B9" s="24"/>
      <c r="C9" s="24"/>
      <c r="D9" s="24"/>
      <c r="E9" s="28" t="str">
        <f aca="false">IF(SUM(B9:D9)=0,"",SUM(B9:D9))</f>
        <v/>
      </c>
      <c r="F9" s="29" t="str">
        <f aca="false">IF($E9="","",($B9+$C9)/$E9)</f>
        <v/>
      </c>
      <c r="G9" s="29" t="str">
        <f aca="false">IF($E9="","",$C9/$E9)</f>
        <v/>
      </c>
    </row>
    <row r="10" customFormat="false" ht="18" hidden="false" customHeight="true" outlineLevel="0" collapsed="false">
      <c r="A10" s="25"/>
      <c r="B10" s="24"/>
      <c r="C10" s="24"/>
      <c r="D10" s="24"/>
      <c r="E10" s="28" t="str">
        <f aca="false">IF(SUM(B10:D10)=0,"",SUM(B10:D10))</f>
        <v/>
      </c>
      <c r="F10" s="29" t="str">
        <f aca="false">IF($E10="","",($B10+$C10)/$E10)</f>
        <v/>
      </c>
      <c r="G10" s="29" t="str">
        <f aca="false">IF($E10="","",$C10/$E10)</f>
        <v/>
      </c>
    </row>
    <row r="11" customFormat="false" ht="18" hidden="false" customHeight="true" outlineLevel="0" collapsed="false">
      <c r="A11" s="25"/>
      <c r="B11" s="24"/>
      <c r="C11" s="24"/>
      <c r="D11" s="24"/>
      <c r="E11" s="28" t="str">
        <f aca="false">IF(SUM(B11:D11)=0,"",SUM(B11:D11))</f>
        <v/>
      </c>
      <c r="F11" s="29" t="str">
        <f aca="false">IF($E11="","",($B11+$C11)/$E11)</f>
        <v/>
      </c>
      <c r="G11" s="29" t="str">
        <f aca="false">IF($E11="","",$C11/$E11)</f>
        <v/>
      </c>
    </row>
    <row r="12" customFormat="false" ht="18" hidden="false" customHeight="true" outlineLevel="0" collapsed="false">
      <c r="A12" s="25"/>
      <c r="B12" s="24"/>
      <c r="C12" s="24"/>
      <c r="D12" s="24"/>
      <c r="E12" s="28" t="str">
        <f aca="false">IF(SUM(B12:D12)=0,"",SUM(B12:D12))</f>
        <v/>
      </c>
      <c r="F12" s="29" t="str">
        <f aca="false">IF($E12="","",($B12+$C12)/$E12)</f>
        <v/>
      </c>
      <c r="G12" s="29" t="str">
        <f aca="false">IF($E12="","",$C12/$E12)</f>
        <v/>
      </c>
    </row>
    <row r="13" customFormat="false" ht="18" hidden="false" customHeight="true" outlineLevel="0" collapsed="false">
      <c r="A13" s="25"/>
      <c r="B13" s="24"/>
      <c r="C13" s="24"/>
      <c r="D13" s="24"/>
      <c r="E13" s="28" t="str">
        <f aca="false">IF(SUM(B13:D13)=0,"",SUM(B13:D13))</f>
        <v/>
      </c>
      <c r="F13" s="29" t="str">
        <f aca="false">IF($E13="","",($B13+$C13)/$E13)</f>
        <v/>
      </c>
      <c r="G13" s="29" t="str">
        <f aca="false">IF($E13="","",$C13/$E13)</f>
        <v/>
      </c>
    </row>
    <row r="14" customFormat="false" ht="18" hidden="false" customHeight="true" outlineLevel="0" collapsed="false">
      <c r="A14" s="25"/>
      <c r="B14" s="24"/>
      <c r="C14" s="24"/>
      <c r="D14" s="24"/>
      <c r="E14" s="28" t="str">
        <f aca="false">IF(SUM(B14:D14)=0,"",SUM(B14:D14))</f>
        <v/>
      </c>
      <c r="F14" s="29" t="str">
        <f aca="false">IF($E14="","",($B14+$C14)/$E14)</f>
        <v/>
      </c>
      <c r="G14" s="29" t="str">
        <f aca="false">IF($E14="","",$C14/$E14)</f>
        <v/>
      </c>
    </row>
    <row r="15" customFormat="false" ht="18" hidden="false" customHeight="true" outlineLevel="0" collapsed="false">
      <c r="A15" s="25"/>
      <c r="B15" s="24"/>
      <c r="C15" s="24"/>
      <c r="D15" s="24"/>
      <c r="E15" s="28" t="str">
        <f aca="false">IF(SUM(B15:D15)=0,"",SUM(B15:D15))</f>
        <v/>
      </c>
      <c r="F15" s="29" t="str">
        <f aca="false">IF($E15="","",($B15+$C15)/$E15)</f>
        <v/>
      </c>
      <c r="G15" s="29" t="str">
        <f aca="false">IF($E15="","",$C15/$E15)</f>
        <v/>
      </c>
    </row>
    <row r="16" customFormat="false" ht="21.75" hidden="false" customHeight="true" outlineLevel="0" collapsed="false">
      <c r="A16" s="30" t="s">
        <v>95</v>
      </c>
      <c r="B16" s="31" t="n">
        <f aca="false">SUM(B6:B15)</f>
        <v>0</v>
      </c>
      <c r="C16" s="31" t="n">
        <f aca="false">SUM(C6:C15)</f>
        <v>0</v>
      </c>
      <c r="D16" s="31" t="n">
        <f aca="false">SUM(D6:D15)</f>
        <v>0</v>
      </c>
      <c r="E16" s="31" t="n">
        <f aca="false">SUM(E6:E15)</f>
        <v>0</v>
      </c>
      <c r="F16" s="32" t="str">
        <f aca="false">IF($E$16=0,"",($B$16+$C$16)/$E$16)</f>
        <v/>
      </c>
      <c r="G16" s="32" t="str">
        <f aca="false">IF($E$16=0,"",$C$16/$E$16)</f>
        <v/>
      </c>
    </row>
    <row r="18" customFormat="false" ht="15" hidden="false" customHeight="true" outlineLevel="0" collapsed="false">
      <c r="A18" s="10" t="s">
        <v>96</v>
      </c>
      <c r="B18" s="10"/>
      <c r="C18" s="10"/>
      <c r="D18" s="10"/>
      <c r="E18" s="10"/>
      <c r="F18" s="10"/>
      <c r="G18" s="10"/>
    </row>
    <row r="19" customFormat="false" ht="15" hidden="false" customHeight="true" outlineLevel="0" collapsed="false">
      <c r="A19" s="10"/>
      <c r="B19" s="10"/>
      <c r="C19" s="10"/>
      <c r="D19" s="10"/>
      <c r="E19" s="10"/>
      <c r="F19" s="10"/>
      <c r="G19" s="10"/>
    </row>
  </sheetData>
  <mergeCells count="3">
    <mergeCell ref="A1:G1"/>
    <mergeCell ref="A2:G2"/>
    <mergeCell ref="A18:G19"/>
  </mergeCells>
  <conditionalFormatting sqref="F16">
    <cfRule type="cellIs" priority="2" operator="greaterThan" aboveAverage="0" equalAverage="0" bottom="0" percent="0" rank="0" text="" dxfId="1">
      <formula>0.9</formula>
    </cfRule>
    <cfRule type="cellIs" priority="3" operator="between" aboveAverage="0" equalAverage="0" bottom="0" percent="0" rank="0" text="" dxfId="2">
      <formula>0.85</formula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8" min="7" style="1" width="12"/>
    <col collapsed="false" customWidth="true" hidden="false" outlineLevel="0" max="10" min="9" style="1" width="11"/>
    <col collapsed="false" customWidth="true" hidden="false" outlineLevel="0" max="12" min="11" style="1" width="10"/>
    <col collapsed="false" customWidth="true" hidden="false" outlineLevel="0" max="13" min="13" style="1" width="16"/>
  </cols>
  <sheetData>
    <row r="1" customFormat="false" ht="24" hidden="false" customHeight="true" outlineLevel="0" collapsed="false">
      <c r="A1" s="11" t="s">
        <v>97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customFormat="false" ht="30" hidden="false" customHeight="true" outlineLevel="0" collapsed="false">
      <c r="A2" s="12" t="s">
        <v>98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4" customFormat="false" ht="30" hidden="false" customHeight="true" outlineLevel="0" collapsed="false">
      <c r="A4" s="13" t="s">
        <v>99</v>
      </c>
      <c r="B4" s="13" t="s">
        <v>100</v>
      </c>
      <c r="C4" s="13" t="s">
        <v>101</v>
      </c>
      <c r="D4" s="13" t="s">
        <v>102</v>
      </c>
      <c r="E4" s="13" t="s">
        <v>103</v>
      </c>
      <c r="F4" s="13" t="s">
        <v>104</v>
      </c>
      <c r="G4" s="13" t="s">
        <v>105</v>
      </c>
      <c r="H4" s="13" t="s">
        <v>106</v>
      </c>
      <c r="I4" s="13" t="s">
        <v>107</v>
      </c>
      <c r="J4" s="13" t="s">
        <v>108</v>
      </c>
      <c r="K4" s="13" t="s">
        <v>109</v>
      </c>
      <c r="L4" s="13" t="s">
        <v>110</v>
      </c>
      <c r="M4" s="13" t="s">
        <v>111</v>
      </c>
    </row>
    <row r="5" customFormat="false" ht="15" hidden="false" customHeight="true" outlineLevel="0" collapsed="false">
      <c r="A5" s="26" t="s">
        <v>112</v>
      </c>
      <c r="B5" s="26" t="s">
        <v>113</v>
      </c>
      <c r="C5" s="26" t="n">
        <v>412</v>
      </c>
      <c r="D5" s="26" t="n">
        <v>298</v>
      </c>
      <c r="E5" s="26" t="n">
        <f aca="false">IF(OR($C5="",$D5=""),"",$C5+$D5)</f>
        <v>710</v>
      </c>
      <c r="F5" s="27" t="n">
        <f aca="false">IF($E5="","",$C5/$E5)</f>
        <v>0.580281690140845</v>
      </c>
      <c r="G5" s="26" t="n">
        <v>22</v>
      </c>
      <c r="H5" s="33" t="n">
        <f aca="false">IF(OR($E5="",$G5=""),"",IFERROR($E5/$G5,""))</f>
        <v>32.2727272727273</v>
      </c>
      <c r="I5" s="26" t="n">
        <v>3</v>
      </c>
      <c r="J5" s="26" t="n">
        <v>1</v>
      </c>
      <c r="K5" s="26" t="n">
        <v>0</v>
      </c>
      <c r="L5" s="26" t="n">
        <v>2</v>
      </c>
      <c r="M5" s="26" t="s">
        <v>114</v>
      </c>
    </row>
    <row r="6" customFormat="false" ht="18" hidden="false" customHeight="true" outlineLevel="0" collapsed="false">
      <c r="A6" s="25"/>
      <c r="B6" s="25"/>
      <c r="C6" s="24"/>
      <c r="D6" s="24"/>
      <c r="E6" s="28" t="str">
        <f aca="false">IF(OR($C6="",$D6=""),"",$C6+$D6)</f>
        <v/>
      </c>
      <c r="F6" s="29" t="str">
        <f aca="false">IF($E6="","",$C6/$E6)</f>
        <v/>
      </c>
      <c r="G6" s="24"/>
      <c r="H6" s="34" t="str">
        <f aca="false">IF(OR($E6="",$G6=""),"",IFERROR($E6/$G6,""))</f>
        <v/>
      </c>
      <c r="I6" s="24"/>
      <c r="J6" s="24"/>
      <c r="K6" s="24"/>
      <c r="L6" s="24"/>
      <c r="M6" s="24"/>
    </row>
    <row r="7" customFormat="false" ht="18" hidden="false" customHeight="true" outlineLevel="0" collapsed="false">
      <c r="A7" s="25"/>
      <c r="B7" s="25"/>
      <c r="C7" s="24"/>
      <c r="D7" s="24"/>
      <c r="E7" s="28" t="str">
        <f aca="false">IF(OR($C7="",$D7=""),"",$C7+$D7)</f>
        <v/>
      </c>
      <c r="F7" s="29" t="str">
        <f aca="false">IF($E7="","",$C7/$E7)</f>
        <v/>
      </c>
      <c r="G7" s="24"/>
      <c r="H7" s="34" t="str">
        <f aca="false">IF(OR($E7="",$G7=""),"",IFERROR($E7/$G7,""))</f>
        <v/>
      </c>
      <c r="I7" s="24"/>
      <c r="J7" s="24"/>
      <c r="K7" s="24"/>
      <c r="L7" s="24"/>
      <c r="M7" s="24"/>
    </row>
    <row r="8" customFormat="false" ht="18" hidden="false" customHeight="true" outlineLevel="0" collapsed="false">
      <c r="A8" s="25"/>
      <c r="B8" s="25"/>
      <c r="C8" s="24"/>
      <c r="D8" s="24"/>
      <c r="E8" s="28" t="str">
        <f aca="false">IF(OR($C8="",$D8=""),"",$C8+$D8)</f>
        <v/>
      </c>
      <c r="F8" s="29" t="str">
        <f aca="false">IF($E8="","",$C8/$E8)</f>
        <v/>
      </c>
      <c r="G8" s="24"/>
      <c r="H8" s="34" t="str">
        <f aca="false">IF(OR($E8="",$G8=""),"",IFERROR($E8/$G8,""))</f>
        <v/>
      </c>
      <c r="I8" s="24"/>
      <c r="J8" s="24"/>
      <c r="K8" s="24"/>
      <c r="L8" s="24"/>
      <c r="M8" s="24"/>
    </row>
    <row r="9" customFormat="false" ht="18" hidden="false" customHeight="true" outlineLevel="0" collapsed="false">
      <c r="A9" s="25"/>
      <c r="B9" s="25"/>
      <c r="C9" s="24"/>
      <c r="D9" s="24"/>
      <c r="E9" s="28" t="str">
        <f aca="false">IF(OR($C9="",$D9=""),"",$C9+$D9)</f>
        <v/>
      </c>
      <c r="F9" s="29" t="str">
        <f aca="false">IF($E9="","",$C9/$E9)</f>
        <v/>
      </c>
      <c r="G9" s="24"/>
      <c r="H9" s="34" t="str">
        <f aca="false">IF(OR($E9="",$G9=""),"",IFERROR($E9/$G9,""))</f>
        <v/>
      </c>
      <c r="I9" s="24"/>
      <c r="J9" s="24"/>
      <c r="K9" s="24"/>
      <c r="L9" s="24"/>
      <c r="M9" s="24"/>
    </row>
    <row r="10" customFormat="false" ht="18" hidden="false" customHeight="true" outlineLevel="0" collapsed="false">
      <c r="A10" s="25"/>
      <c r="B10" s="25"/>
      <c r="C10" s="24"/>
      <c r="D10" s="24"/>
      <c r="E10" s="28" t="str">
        <f aca="false">IF(OR($C10="",$D10=""),"",$C10+$D10)</f>
        <v/>
      </c>
      <c r="F10" s="29" t="str">
        <f aca="false">IF($E10="","",$C10/$E10)</f>
        <v/>
      </c>
      <c r="G10" s="24"/>
      <c r="H10" s="34" t="str">
        <f aca="false">IF(OR($E10="",$G10=""),"",IFERROR($E10/$G10,""))</f>
        <v/>
      </c>
      <c r="I10" s="24"/>
      <c r="J10" s="24"/>
      <c r="K10" s="24"/>
      <c r="L10" s="24"/>
      <c r="M10" s="24"/>
    </row>
    <row r="11" customFormat="false" ht="18" hidden="false" customHeight="true" outlineLevel="0" collapsed="false">
      <c r="A11" s="25"/>
      <c r="B11" s="25"/>
      <c r="C11" s="24"/>
      <c r="D11" s="24"/>
      <c r="E11" s="28" t="str">
        <f aca="false">IF(OR($C11="",$D11=""),"",$C11+$D11)</f>
        <v/>
      </c>
      <c r="F11" s="29" t="str">
        <f aca="false">IF($E11="","",$C11/$E11)</f>
        <v/>
      </c>
      <c r="G11" s="24"/>
      <c r="H11" s="34" t="str">
        <f aca="false">IF(OR($E11="",$G11=""),"",IFERROR($E11/$G11,""))</f>
        <v/>
      </c>
      <c r="I11" s="24"/>
      <c r="J11" s="24"/>
      <c r="K11" s="24"/>
      <c r="L11" s="24"/>
      <c r="M11" s="24"/>
    </row>
    <row r="12" customFormat="false" ht="18" hidden="false" customHeight="true" outlineLevel="0" collapsed="false">
      <c r="A12" s="25"/>
      <c r="B12" s="25"/>
      <c r="C12" s="24"/>
      <c r="D12" s="24"/>
      <c r="E12" s="28" t="str">
        <f aca="false">IF(OR($C12="",$D12=""),"",$C12+$D12)</f>
        <v/>
      </c>
      <c r="F12" s="29" t="str">
        <f aca="false">IF($E12="","",$C12/$E12)</f>
        <v/>
      </c>
      <c r="G12" s="24"/>
      <c r="H12" s="34" t="str">
        <f aca="false">IF(OR($E12="",$G12=""),"",IFERROR($E12/$G12,""))</f>
        <v/>
      </c>
      <c r="I12" s="24"/>
      <c r="J12" s="24"/>
      <c r="K12" s="24"/>
      <c r="L12" s="24"/>
      <c r="M12" s="24"/>
    </row>
    <row r="13" customFormat="false" ht="18" hidden="false" customHeight="true" outlineLevel="0" collapsed="false">
      <c r="A13" s="25"/>
      <c r="B13" s="25"/>
      <c r="C13" s="24"/>
      <c r="D13" s="24"/>
      <c r="E13" s="28" t="str">
        <f aca="false">IF(OR($C13="",$D13=""),"",$C13+$D13)</f>
        <v/>
      </c>
      <c r="F13" s="29" t="str">
        <f aca="false">IF($E13="","",$C13/$E13)</f>
        <v/>
      </c>
      <c r="G13" s="24"/>
      <c r="H13" s="34" t="str">
        <f aca="false">IF(OR($E13="",$G13=""),"",IFERROR($E13/$G13,""))</f>
        <v/>
      </c>
      <c r="I13" s="24"/>
      <c r="J13" s="24"/>
      <c r="K13" s="24"/>
      <c r="L13" s="24"/>
      <c r="M13" s="24"/>
    </row>
    <row r="14" customFormat="false" ht="21.75" hidden="false" customHeight="true" outlineLevel="0" collapsed="false">
      <c r="A14" s="35" t="s">
        <v>115</v>
      </c>
      <c r="B14" s="36"/>
      <c r="C14" s="36" t="str">
        <f aca="false">IF(SUM(C6:C13)=0,"",SUM(C6:C13))</f>
        <v/>
      </c>
      <c r="D14" s="36" t="str">
        <f aca="false">IF(SUM(D6:D13)=0,"",SUM(D6:D13))</f>
        <v/>
      </c>
      <c r="E14" s="36" t="str">
        <f aca="false">IF(SUM(E6:E13)=0,"",SUM(E6:E13))</f>
        <v/>
      </c>
      <c r="F14" s="37" t="str">
        <f aca="false">IF(SUM($E$6:$E$13)=0,"",SUM($C$6:$C$13)/SUM($E$6:$E$13))</f>
        <v/>
      </c>
      <c r="G14" s="36" t="str">
        <f aca="false">IF(SUM(G6:G13)=0,"",SUM(G6:G13))</f>
        <v/>
      </c>
      <c r="H14" s="38" t="str">
        <f aca="false">IF(OR(SUM($E$6:$E$13)=0,SUM($G$6:$G$13)=0),"",SUM($E$6:$E$13)/SUM($G$6:$G$13))</f>
        <v/>
      </c>
      <c r="I14" s="36" t="str">
        <f aca="false">IF(SUM(I6:I13)=0,"",SUM(I6:I13))</f>
        <v/>
      </c>
      <c r="J14" s="36" t="str">
        <f aca="false">IF(SUM(J6:J13)=0,"",SUM(J6:J13))</f>
        <v/>
      </c>
      <c r="K14" s="36" t="str">
        <f aca="false">IF(SUM(K6:K13)=0,"",SUM(K6:K13))</f>
        <v/>
      </c>
      <c r="L14" s="36" t="str">
        <f aca="false">IF(SUM(L6:L13)=0,"",SUM(L6:L13))</f>
        <v/>
      </c>
      <c r="M14" s="36"/>
    </row>
    <row r="16" customFormat="false" ht="15" hidden="false" customHeight="true" outlineLevel="0" collapsed="false">
      <c r="A16" s="10" t="s">
        <v>116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customFormat="false" ht="15" hidden="false" customHeight="tru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</sheetData>
  <mergeCells count="3">
    <mergeCell ref="A1:M1"/>
    <mergeCell ref="A2:M2"/>
    <mergeCell ref="A16:M17"/>
  </mergeCells>
  <conditionalFormatting sqref="F14">
    <cfRule type="cellIs" priority="2" operator="greaterThan" aboveAverage="0" equalAverage="0" bottom="0" percent="0" rank="0" text="" dxfId="3">
      <formula>0.5</formula>
    </cfRule>
  </conditionalFormatting>
  <dataValidations count="1">
    <dataValidation allowBlank="true" error="Selecciona Sí o No" errorStyle="stop" errorTitle="Valor no válido" operator="between" showDropDown="false" showErrorMessage="false" showInputMessage="false" sqref="M6:M13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3" min="2" style="1" width="18"/>
    <col collapsed="false" customWidth="true" hidden="false" outlineLevel="0" max="5" min="4" style="1" width="14"/>
    <col collapsed="false" customWidth="true" hidden="false" outlineLevel="0" max="6" min="6" style="1" width="11"/>
    <col collapsed="false" customWidth="true" hidden="false" outlineLevel="0" max="7" min="7" style="1" width="12"/>
  </cols>
  <sheetData>
    <row r="1" customFormat="false" ht="24" hidden="false" customHeight="true" outlineLevel="0" collapsed="false">
      <c r="A1" s="11" t="s">
        <v>117</v>
      </c>
      <c r="B1" s="11"/>
      <c r="C1" s="11"/>
      <c r="D1" s="11"/>
      <c r="E1" s="11"/>
      <c r="F1" s="11"/>
      <c r="G1" s="11"/>
    </row>
    <row r="2" customFormat="false" ht="30" hidden="false" customHeight="true" outlineLevel="0" collapsed="false">
      <c r="A2" s="12" t="s">
        <v>118</v>
      </c>
      <c r="B2" s="12"/>
      <c r="C2" s="12"/>
      <c r="D2" s="12"/>
      <c r="E2" s="12"/>
      <c r="F2" s="12"/>
      <c r="G2" s="12"/>
    </row>
    <row r="4" customFormat="false" ht="24" hidden="false" customHeight="true" outlineLevel="0" collapsed="false">
      <c r="A4" s="39" t="s">
        <v>119</v>
      </c>
      <c r="B4" s="40" t="n">
        <f aca="false">COUNTIF($F$8:$F$107,"SÍ")+COUNTIF($F$8:$F$107,"NO")</f>
        <v>0</v>
      </c>
      <c r="C4" s="39" t="s">
        <v>120</v>
      </c>
      <c r="D4" s="40" t="n">
        <f aca="false">COUNTIF($F$8:$F$107,"SÍ")</f>
        <v>0</v>
      </c>
      <c r="E4" s="39" t="s">
        <v>121</v>
      </c>
      <c r="F4" s="41" t="str">
        <f aca="false">IF($B$4=0,"",$D$4/$B$4)</f>
        <v/>
      </c>
    </row>
    <row r="6" customFormat="false" ht="30" hidden="false" customHeight="true" outlineLevel="0" collapsed="false">
      <c r="A6" s="13" t="s">
        <v>53</v>
      </c>
      <c r="B6" s="13" t="s">
        <v>122</v>
      </c>
      <c r="C6" s="13" t="s">
        <v>123</v>
      </c>
      <c r="D6" s="13" t="s">
        <v>124</v>
      </c>
      <c r="E6" s="13" t="s">
        <v>125</v>
      </c>
      <c r="F6" s="13" t="s">
        <v>126</v>
      </c>
      <c r="G6" s="13" t="s">
        <v>127</v>
      </c>
    </row>
    <row r="7" customFormat="false" ht="15" hidden="false" customHeight="true" outlineLevel="0" collapsed="false">
      <c r="A7" s="26" t="s">
        <v>128</v>
      </c>
      <c r="B7" s="26" t="s">
        <v>129</v>
      </c>
      <c r="C7" s="26" t="s">
        <v>130</v>
      </c>
      <c r="D7" s="26" t="n">
        <v>48</v>
      </c>
      <c r="E7" s="26" t="n">
        <v>52</v>
      </c>
      <c r="F7" s="26" t="str">
        <f aca="false">IF(OR($D7="",$E7=""),"",IF($D7=$E7,"SÍ","NO"))</f>
        <v>NO</v>
      </c>
      <c r="G7" s="26" t="n">
        <f aca="false">IF(OR($D7="",$E7=""),"",$D7-$E7)</f>
        <v>-4</v>
      </c>
    </row>
    <row r="8" customFormat="false" ht="15.75" hidden="false" customHeight="true" outlineLevel="0" collapsed="false">
      <c r="A8" s="42" t="n">
        <v>1</v>
      </c>
      <c r="B8" s="25"/>
      <c r="C8" s="25"/>
      <c r="D8" s="24"/>
      <c r="E8" s="24"/>
      <c r="F8" s="28" t="str">
        <f aca="false">IF(OR($D8="",$E8=""),"",IF($D8=$E8,"SÍ","NO"))</f>
        <v/>
      </c>
      <c r="G8" s="28" t="str">
        <f aca="false">IF(OR($D8="",$E8=""),"",$D8-$E8)</f>
        <v/>
      </c>
    </row>
    <row r="9" customFormat="false" ht="15.75" hidden="false" customHeight="true" outlineLevel="0" collapsed="false">
      <c r="A9" s="42" t="n">
        <v>2</v>
      </c>
      <c r="B9" s="25"/>
      <c r="C9" s="25"/>
      <c r="D9" s="24"/>
      <c r="E9" s="24"/>
      <c r="F9" s="28" t="str">
        <f aca="false">IF(OR($D9="",$E9=""),"",IF($D9=$E9,"SÍ","NO"))</f>
        <v/>
      </c>
      <c r="G9" s="28" t="str">
        <f aca="false">IF(OR($D9="",$E9=""),"",$D9-$E9)</f>
        <v/>
      </c>
    </row>
    <row r="10" customFormat="false" ht="15.75" hidden="false" customHeight="true" outlineLevel="0" collapsed="false">
      <c r="A10" s="42" t="n">
        <v>3</v>
      </c>
      <c r="B10" s="25"/>
      <c r="C10" s="25"/>
      <c r="D10" s="24"/>
      <c r="E10" s="24"/>
      <c r="F10" s="28" t="str">
        <f aca="false">IF(OR($D10="",$E10=""),"",IF($D10=$E10,"SÍ","NO"))</f>
        <v/>
      </c>
      <c r="G10" s="28" t="str">
        <f aca="false">IF(OR($D10="",$E10=""),"",$D10-$E10)</f>
        <v/>
      </c>
    </row>
    <row r="11" customFormat="false" ht="15.75" hidden="false" customHeight="true" outlineLevel="0" collapsed="false">
      <c r="A11" s="42" t="n">
        <v>4</v>
      </c>
      <c r="B11" s="25"/>
      <c r="C11" s="25"/>
      <c r="D11" s="24"/>
      <c r="E11" s="24"/>
      <c r="F11" s="28" t="str">
        <f aca="false">IF(OR($D11="",$E11=""),"",IF($D11=$E11,"SÍ","NO"))</f>
        <v/>
      </c>
      <c r="G11" s="28" t="str">
        <f aca="false">IF(OR($D11="",$E11=""),"",$D11-$E11)</f>
        <v/>
      </c>
    </row>
    <row r="12" customFormat="false" ht="15.75" hidden="false" customHeight="true" outlineLevel="0" collapsed="false">
      <c r="A12" s="42" t="n">
        <v>5</v>
      </c>
      <c r="B12" s="25"/>
      <c r="C12" s="25"/>
      <c r="D12" s="24"/>
      <c r="E12" s="24"/>
      <c r="F12" s="28" t="str">
        <f aca="false">IF(OR($D12="",$E12=""),"",IF($D12=$E12,"SÍ","NO"))</f>
        <v/>
      </c>
      <c r="G12" s="28" t="str">
        <f aca="false">IF(OR($D12="",$E12=""),"",$D12-$E12)</f>
        <v/>
      </c>
    </row>
    <row r="13" customFormat="false" ht="15.75" hidden="false" customHeight="true" outlineLevel="0" collapsed="false">
      <c r="A13" s="42" t="n">
        <v>6</v>
      </c>
      <c r="B13" s="25"/>
      <c r="C13" s="25"/>
      <c r="D13" s="24"/>
      <c r="E13" s="24"/>
      <c r="F13" s="28" t="str">
        <f aca="false">IF(OR($D13="",$E13=""),"",IF($D13=$E13,"SÍ","NO"))</f>
        <v/>
      </c>
      <c r="G13" s="28" t="str">
        <f aca="false">IF(OR($D13="",$E13=""),"",$D13-$E13)</f>
        <v/>
      </c>
    </row>
    <row r="14" customFormat="false" ht="15.75" hidden="false" customHeight="true" outlineLevel="0" collapsed="false">
      <c r="A14" s="42" t="n">
        <v>7</v>
      </c>
      <c r="B14" s="25"/>
      <c r="C14" s="25"/>
      <c r="D14" s="24"/>
      <c r="E14" s="24"/>
      <c r="F14" s="28" t="str">
        <f aca="false">IF(OR($D14="",$E14=""),"",IF($D14=$E14,"SÍ","NO"))</f>
        <v/>
      </c>
      <c r="G14" s="28" t="str">
        <f aca="false">IF(OR($D14="",$E14=""),"",$D14-$E14)</f>
        <v/>
      </c>
    </row>
    <row r="15" customFormat="false" ht="15.75" hidden="false" customHeight="true" outlineLevel="0" collapsed="false">
      <c r="A15" s="42" t="n">
        <v>8</v>
      </c>
      <c r="B15" s="25"/>
      <c r="C15" s="25"/>
      <c r="D15" s="24"/>
      <c r="E15" s="24"/>
      <c r="F15" s="28" t="str">
        <f aca="false">IF(OR($D15="",$E15=""),"",IF($D15=$E15,"SÍ","NO"))</f>
        <v/>
      </c>
      <c r="G15" s="28" t="str">
        <f aca="false">IF(OR($D15="",$E15=""),"",$D15-$E15)</f>
        <v/>
      </c>
    </row>
    <row r="16" customFormat="false" ht="15.75" hidden="false" customHeight="true" outlineLevel="0" collapsed="false">
      <c r="A16" s="42" t="n">
        <v>9</v>
      </c>
      <c r="B16" s="25"/>
      <c r="C16" s="25"/>
      <c r="D16" s="24"/>
      <c r="E16" s="24"/>
      <c r="F16" s="28" t="str">
        <f aca="false">IF(OR($D16="",$E16=""),"",IF($D16=$E16,"SÍ","NO"))</f>
        <v/>
      </c>
      <c r="G16" s="28" t="str">
        <f aca="false">IF(OR($D16="",$E16=""),"",$D16-$E16)</f>
        <v/>
      </c>
    </row>
    <row r="17" customFormat="false" ht="15.75" hidden="false" customHeight="true" outlineLevel="0" collapsed="false">
      <c r="A17" s="42" t="n">
        <v>10</v>
      </c>
      <c r="B17" s="25"/>
      <c r="C17" s="25"/>
      <c r="D17" s="24"/>
      <c r="E17" s="24"/>
      <c r="F17" s="28" t="str">
        <f aca="false">IF(OR($D17="",$E17=""),"",IF($D17=$E17,"SÍ","NO"))</f>
        <v/>
      </c>
      <c r="G17" s="28" t="str">
        <f aca="false">IF(OR($D17="",$E17=""),"",$D17-$E17)</f>
        <v/>
      </c>
    </row>
    <row r="18" customFormat="false" ht="15.75" hidden="false" customHeight="true" outlineLevel="0" collapsed="false">
      <c r="A18" s="42" t="n">
        <v>11</v>
      </c>
      <c r="B18" s="25"/>
      <c r="C18" s="25"/>
      <c r="D18" s="24"/>
      <c r="E18" s="24"/>
      <c r="F18" s="28" t="str">
        <f aca="false">IF(OR($D18="",$E18=""),"",IF($D18=$E18,"SÍ","NO"))</f>
        <v/>
      </c>
      <c r="G18" s="28" t="str">
        <f aca="false">IF(OR($D18="",$E18=""),"",$D18-$E18)</f>
        <v/>
      </c>
    </row>
    <row r="19" customFormat="false" ht="15.75" hidden="false" customHeight="true" outlineLevel="0" collapsed="false">
      <c r="A19" s="42" t="n">
        <v>12</v>
      </c>
      <c r="B19" s="25"/>
      <c r="C19" s="25"/>
      <c r="D19" s="24"/>
      <c r="E19" s="24"/>
      <c r="F19" s="28" t="str">
        <f aca="false">IF(OR($D19="",$E19=""),"",IF($D19=$E19,"SÍ","NO"))</f>
        <v/>
      </c>
      <c r="G19" s="28" t="str">
        <f aca="false">IF(OR($D19="",$E19=""),"",$D19-$E19)</f>
        <v/>
      </c>
    </row>
    <row r="20" customFormat="false" ht="15.75" hidden="false" customHeight="true" outlineLevel="0" collapsed="false">
      <c r="A20" s="42" t="n">
        <v>13</v>
      </c>
      <c r="B20" s="25"/>
      <c r="C20" s="25"/>
      <c r="D20" s="24"/>
      <c r="E20" s="24"/>
      <c r="F20" s="28" t="str">
        <f aca="false">IF(OR($D20="",$E20=""),"",IF($D20=$E20,"SÍ","NO"))</f>
        <v/>
      </c>
      <c r="G20" s="28" t="str">
        <f aca="false">IF(OR($D20="",$E20=""),"",$D20-$E20)</f>
        <v/>
      </c>
    </row>
    <row r="21" customFormat="false" ht="15.75" hidden="false" customHeight="true" outlineLevel="0" collapsed="false">
      <c r="A21" s="42" t="n">
        <v>14</v>
      </c>
      <c r="B21" s="25"/>
      <c r="C21" s="25"/>
      <c r="D21" s="24"/>
      <c r="E21" s="24"/>
      <c r="F21" s="28" t="str">
        <f aca="false">IF(OR($D21="",$E21=""),"",IF($D21=$E21,"SÍ","NO"))</f>
        <v/>
      </c>
      <c r="G21" s="28" t="str">
        <f aca="false">IF(OR($D21="",$E21=""),"",$D21-$E21)</f>
        <v/>
      </c>
    </row>
    <row r="22" customFormat="false" ht="15.75" hidden="false" customHeight="true" outlineLevel="0" collapsed="false">
      <c r="A22" s="42" t="n">
        <v>15</v>
      </c>
      <c r="B22" s="25"/>
      <c r="C22" s="25"/>
      <c r="D22" s="24"/>
      <c r="E22" s="24"/>
      <c r="F22" s="28" t="str">
        <f aca="false">IF(OR($D22="",$E22=""),"",IF($D22=$E22,"SÍ","NO"))</f>
        <v/>
      </c>
      <c r="G22" s="28" t="str">
        <f aca="false">IF(OR($D22="",$E22=""),"",$D22-$E22)</f>
        <v/>
      </c>
    </row>
    <row r="23" customFormat="false" ht="15.75" hidden="false" customHeight="true" outlineLevel="0" collapsed="false">
      <c r="A23" s="42" t="n">
        <v>16</v>
      </c>
      <c r="B23" s="25"/>
      <c r="C23" s="25"/>
      <c r="D23" s="24"/>
      <c r="E23" s="24"/>
      <c r="F23" s="28" t="str">
        <f aca="false">IF(OR($D23="",$E23=""),"",IF($D23=$E23,"SÍ","NO"))</f>
        <v/>
      </c>
      <c r="G23" s="28" t="str">
        <f aca="false">IF(OR($D23="",$E23=""),"",$D23-$E23)</f>
        <v/>
      </c>
    </row>
    <row r="24" customFormat="false" ht="15.75" hidden="false" customHeight="true" outlineLevel="0" collapsed="false">
      <c r="A24" s="42" t="n">
        <v>17</v>
      </c>
      <c r="B24" s="25"/>
      <c r="C24" s="25"/>
      <c r="D24" s="24"/>
      <c r="E24" s="24"/>
      <c r="F24" s="28" t="str">
        <f aca="false">IF(OR($D24="",$E24=""),"",IF($D24=$E24,"SÍ","NO"))</f>
        <v/>
      </c>
      <c r="G24" s="28" t="str">
        <f aca="false">IF(OR($D24="",$E24=""),"",$D24-$E24)</f>
        <v/>
      </c>
    </row>
    <row r="25" customFormat="false" ht="15.75" hidden="false" customHeight="true" outlineLevel="0" collapsed="false">
      <c r="A25" s="42" t="n">
        <v>18</v>
      </c>
      <c r="B25" s="25"/>
      <c r="C25" s="25"/>
      <c r="D25" s="24"/>
      <c r="E25" s="24"/>
      <c r="F25" s="28" t="str">
        <f aca="false">IF(OR($D25="",$E25=""),"",IF($D25=$E25,"SÍ","NO"))</f>
        <v/>
      </c>
      <c r="G25" s="28" t="str">
        <f aca="false">IF(OR($D25="",$E25=""),"",$D25-$E25)</f>
        <v/>
      </c>
    </row>
    <row r="26" customFormat="false" ht="15.75" hidden="false" customHeight="true" outlineLevel="0" collapsed="false">
      <c r="A26" s="42" t="n">
        <v>19</v>
      </c>
      <c r="B26" s="25"/>
      <c r="C26" s="25"/>
      <c r="D26" s="24"/>
      <c r="E26" s="24"/>
      <c r="F26" s="28" t="str">
        <f aca="false">IF(OR($D26="",$E26=""),"",IF($D26=$E26,"SÍ","NO"))</f>
        <v/>
      </c>
      <c r="G26" s="28" t="str">
        <f aca="false">IF(OR($D26="",$E26=""),"",$D26-$E26)</f>
        <v/>
      </c>
    </row>
    <row r="27" customFormat="false" ht="15.75" hidden="false" customHeight="true" outlineLevel="0" collapsed="false">
      <c r="A27" s="42" t="n">
        <v>20</v>
      </c>
      <c r="B27" s="25"/>
      <c r="C27" s="25"/>
      <c r="D27" s="24"/>
      <c r="E27" s="24"/>
      <c r="F27" s="28" t="str">
        <f aca="false">IF(OR($D27="",$E27=""),"",IF($D27=$E27,"SÍ","NO"))</f>
        <v/>
      </c>
      <c r="G27" s="28" t="str">
        <f aca="false">IF(OR($D27="",$E27=""),"",$D27-$E27)</f>
        <v/>
      </c>
    </row>
    <row r="28" customFormat="false" ht="15.75" hidden="false" customHeight="true" outlineLevel="0" collapsed="false">
      <c r="A28" s="42" t="n">
        <v>21</v>
      </c>
      <c r="B28" s="25"/>
      <c r="C28" s="25"/>
      <c r="D28" s="24"/>
      <c r="E28" s="24"/>
      <c r="F28" s="28" t="str">
        <f aca="false">IF(OR($D28="",$E28=""),"",IF($D28=$E28,"SÍ","NO"))</f>
        <v/>
      </c>
      <c r="G28" s="28" t="str">
        <f aca="false">IF(OR($D28="",$E28=""),"",$D28-$E28)</f>
        <v/>
      </c>
    </row>
    <row r="29" customFormat="false" ht="15.75" hidden="false" customHeight="true" outlineLevel="0" collapsed="false">
      <c r="A29" s="42" t="n">
        <v>22</v>
      </c>
      <c r="B29" s="25"/>
      <c r="C29" s="25"/>
      <c r="D29" s="24"/>
      <c r="E29" s="24"/>
      <c r="F29" s="28" t="str">
        <f aca="false">IF(OR($D29="",$E29=""),"",IF($D29=$E29,"SÍ","NO"))</f>
        <v/>
      </c>
      <c r="G29" s="28" t="str">
        <f aca="false">IF(OR($D29="",$E29=""),"",$D29-$E29)</f>
        <v/>
      </c>
    </row>
    <row r="30" customFormat="false" ht="15.75" hidden="false" customHeight="true" outlineLevel="0" collapsed="false">
      <c r="A30" s="42" t="n">
        <v>23</v>
      </c>
      <c r="B30" s="25"/>
      <c r="C30" s="25"/>
      <c r="D30" s="24"/>
      <c r="E30" s="24"/>
      <c r="F30" s="28" t="str">
        <f aca="false">IF(OR($D30="",$E30=""),"",IF($D30=$E30,"SÍ","NO"))</f>
        <v/>
      </c>
      <c r="G30" s="28" t="str">
        <f aca="false">IF(OR($D30="",$E30=""),"",$D30-$E30)</f>
        <v/>
      </c>
    </row>
    <row r="31" customFormat="false" ht="15.75" hidden="false" customHeight="true" outlineLevel="0" collapsed="false">
      <c r="A31" s="42" t="n">
        <v>24</v>
      </c>
      <c r="B31" s="25"/>
      <c r="C31" s="25"/>
      <c r="D31" s="24"/>
      <c r="E31" s="24"/>
      <c r="F31" s="28" t="str">
        <f aca="false">IF(OR($D31="",$E31=""),"",IF($D31=$E31,"SÍ","NO"))</f>
        <v/>
      </c>
      <c r="G31" s="28" t="str">
        <f aca="false">IF(OR($D31="",$E31=""),"",$D31-$E31)</f>
        <v/>
      </c>
    </row>
    <row r="32" customFormat="false" ht="15.75" hidden="false" customHeight="true" outlineLevel="0" collapsed="false">
      <c r="A32" s="42" t="n">
        <v>25</v>
      </c>
      <c r="B32" s="25"/>
      <c r="C32" s="25"/>
      <c r="D32" s="24"/>
      <c r="E32" s="24"/>
      <c r="F32" s="28" t="str">
        <f aca="false">IF(OR($D32="",$E32=""),"",IF($D32=$E32,"SÍ","NO"))</f>
        <v/>
      </c>
      <c r="G32" s="28" t="str">
        <f aca="false">IF(OR($D32="",$E32=""),"",$D32-$E32)</f>
        <v/>
      </c>
    </row>
    <row r="33" customFormat="false" ht="15.75" hidden="false" customHeight="true" outlineLevel="0" collapsed="false">
      <c r="A33" s="42" t="n">
        <v>26</v>
      </c>
      <c r="B33" s="25"/>
      <c r="C33" s="25"/>
      <c r="D33" s="24"/>
      <c r="E33" s="24"/>
      <c r="F33" s="28" t="str">
        <f aca="false">IF(OR($D33="",$E33=""),"",IF($D33=$E33,"SÍ","NO"))</f>
        <v/>
      </c>
      <c r="G33" s="28" t="str">
        <f aca="false">IF(OR($D33="",$E33=""),"",$D33-$E33)</f>
        <v/>
      </c>
    </row>
    <row r="34" customFormat="false" ht="15.75" hidden="false" customHeight="true" outlineLevel="0" collapsed="false">
      <c r="A34" s="42" t="n">
        <v>27</v>
      </c>
      <c r="B34" s="25"/>
      <c r="C34" s="25"/>
      <c r="D34" s="24"/>
      <c r="E34" s="24"/>
      <c r="F34" s="28" t="str">
        <f aca="false">IF(OR($D34="",$E34=""),"",IF($D34=$E34,"SÍ","NO"))</f>
        <v/>
      </c>
      <c r="G34" s="28" t="str">
        <f aca="false">IF(OR($D34="",$E34=""),"",$D34-$E34)</f>
        <v/>
      </c>
    </row>
    <row r="35" customFormat="false" ht="15.75" hidden="false" customHeight="true" outlineLevel="0" collapsed="false">
      <c r="A35" s="42" t="n">
        <v>28</v>
      </c>
      <c r="B35" s="25"/>
      <c r="C35" s="25"/>
      <c r="D35" s="24"/>
      <c r="E35" s="24"/>
      <c r="F35" s="28" t="str">
        <f aca="false">IF(OR($D35="",$E35=""),"",IF($D35=$E35,"SÍ","NO"))</f>
        <v/>
      </c>
      <c r="G35" s="28" t="str">
        <f aca="false">IF(OR($D35="",$E35=""),"",$D35-$E35)</f>
        <v/>
      </c>
    </row>
    <row r="36" customFormat="false" ht="15.75" hidden="false" customHeight="true" outlineLevel="0" collapsed="false">
      <c r="A36" s="42" t="n">
        <v>29</v>
      </c>
      <c r="B36" s="25"/>
      <c r="C36" s="25"/>
      <c r="D36" s="24"/>
      <c r="E36" s="24"/>
      <c r="F36" s="28" t="str">
        <f aca="false">IF(OR($D36="",$E36=""),"",IF($D36=$E36,"SÍ","NO"))</f>
        <v/>
      </c>
      <c r="G36" s="28" t="str">
        <f aca="false">IF(OR($D36="",$E36=""),"",$D36-$E36)</f>
        <v/>
      </c>
    </row>
    <row r="37" customFormat="false" ht="15.75" hidden="false" customHeight="true" outlineLevel="0" collapsed="false">
      <c r="A37" s="42" t="n">
        <v>30</v>
      </c>
      <c r="B37" s="25"/>
      <c r="C37" s="25"/>
      <c r="D37" s="24"/>
      <c r="E37" s="24"/>
      <c r="F37" s="28" t="str">
        <f aca="false">IF(OR($D37="",$E37=""),"",IF($D37=$E37,"SÍ","NO"))</f>
        <v/>
      </c>
      <c r="G37" s="28" t="str">
        <f aca="false">IF(OR($D37="",$E37=""),"",$D37-$E37)</f>
        <v/>
      </c>
    </row>
    <row r="38" customFormat="false" ht="15.75" hidden="false" customHeight="true" outlineLevel="0" collapsed="false">
      <c r="A38" s="42" t="n">
        <v>31</v>
      </c>
      <c r="B38" s="25"/>
      <c r="C38" s="25"/>
      <c r="D38" s="24"/>
      <c r="E38" s="24"/>
      <c r="F38" s="28" t="str">
        <f aca="false">IF(OR($D38="",$E38=""),"",IF($D38=$E38,"SÍ","NO"))</f>
        <v/>
      </c>
      <c r="G38" s="28" t="str">
        <f aca="false">IF(OR($D38="",$E38=""),"",$D38-$E38)</f>
        <v/>
      </c>
    </row>
    <row r="39" customFormat="false" ht="15.75" hidden="false" customHeight="true" outlineLevel="0" collapsed="false">
      <c r="A39" s="42" t="n">
        <v>32</v>
      </c>
      <c r="B39" s="25"/>
      <c r="C39" s="25"/>
      <c r="D39" s="24"/>
      <c r="E39" s="24"/>
      <c r="F39" s="28" t="str">
        <f aca="false">IF(OR($D39="",$E39=""),"",IF($D39=$E39,"SÍ","NO"))</f>
        <v/>
      </c>
      <c r="G39" s="28" t="str">
        <f aca="false">IF(OR($D39="",$E39=""),"",$D39-$E39)</f>
        <v/>
      </c>
    </row>
    <row r="40" customFormat="false" ht="15.75" hidden="false" customHeight="true" outlineLevel="0" collapsed="false">
      <c r="A40" s="42" t="n">
        <v>33</v>
      </c>
      <c r="B40" s="25"/>
      <c r="C40" s="25"/>
      <c r="D40" s="24"/>
      <c r="E40" s="24"/>
      <c r="F40" s="28" t="str">
        <f aca="false">IF(OR($D40="",$E40=""),"",IF($D40=$E40,"SÍ","NO"))</f>
        <v/>
      </c>
      <c r="G40" s="28" t="str">
        <f aca="false">IF(OR($D40="",$E40=""),"",$D40-$E40)</f>
        <v/>
      </c>
    </row>
    <row r="41" customFormat="false" ht="15.75" hidden="false" customHeight="true" outlineLevel="0" collapsed="false">
      <c r="A41" s="42" t="n">
        <v>34</v>
      </c>
      <c r="B41" s="25"/>
      <c r="C41" s="25"/>
      <c r="D41" s="24"/>
      <c r="E41" s="24"/>
      <c r="F41" s="28" t="str">
        <f aca="false">IF(OR($D41="",$E41=""),"",IF($D41=$E41,"SÍ","NO"))</f>
        <v/>
      </c>
      <c r="G41" s="28" t="str">
        <f aca="false">IF(OR($D41="",$E41=""),"",$D41-$E41)</f>
        <v/>
      </c>
    </row>
    <row r="42" customFormat="false" ht="15.75" hidden="false" customHeight="true" outlineLevel="0" collapsed="false">
      <c r="A42" s="42" t="n">
        <v>35</v>
      </c>
      <c r="B42" s="25"/>
      <c r="C42" s="25"/>
      <c r="D42" s="24"/>
      <c r="E42" s="24"/>
      <c r="F42" s="28" t="str">
        <f aca="false">IF(OR($D42="",$E42=""),"",IF($D42=$E42,"SÍ","NO"))</f>
        <v/>
      </c>
      <c r="G42" s="28" t="str">
        <f aca="false">IF(OR($D42="",$E42=""),"",$D42-$E42)</f>
        <v/>
      </c>
    </row>
    <row r="43" customFormat="false" ht="15.75" hidden="false" customHeight="true" outlineLevel="0" collapsed="false">
      <c r="A43" s="42" t="n">
        <v>36</v>
      </c>
      <c r="B43" s="25"/>
      <c r="C43" s="25"/>
      <c r="D43" s="24"/>
      <c r="E43" s="24"/>
      <c r="F43" s="28" t="str">
        <f aca="false">IF(OR($D43="",$E43=""),"",IF($D43=$E43,"SÍ","NO"))</f>
        <v/>
      </c>
      <c r="G43" s="28" t="str">
        <f aca="false">IF(OR($D43="",$E43=""),"",$D43-$E43)</f>
        <v/>
      </c>
    </row>
    <row r="44" customFormat="false" ht="15.75" hidden="false" customHeight="true" outlineLevel="0" collapsed="false">
      <c r="A44" s="42" t="n">
        <v>37</v>
      </c>
      <c r="B44" s="25"/>
      <c r="C44" s="25"/>
      <c r="D44" s="24"/>
      <c r="E44" s="24"/>
      <c r="F44" s="28" t="str">
        <f aca="false">IF(OR($D44="",$E44=""),"",IF($D44=$E44,"SÍ","NO"))</f>
        <v/>
      </c>
      <c r="G44" s="28" t="str">
        <f aca="false">IF(OR($D44="",$E44=""),"",$D44-$E44)</f>
        <v/>
      </c>
    </row>
    <row r="45" customFormat="false" ht="15.75" hidden="false" customHeight="true" outlineLevel="0" collapsed="false">
      <c r="A45" s="42" t="n">
        <v>38</v>
      </c>
      <c r="B45" s="25"/>
      <c r="C45" s="25"/>
      <c r="D45" s="24"/>
      <c r="E45" s="24"/>
      <c r="F45" s="28" t="str">
        <f aca="false">IF(OR($D45="",$E45=""),"",IF($D45=$E45,"SÍ","NO"))</f>
        <v/>
      </c>
      <c r="G45" s="28" t="str">
        <f aca="false">IF(OR($D45="",$E45=""),"",$D45-$E45)</f>
        <v/>
      </c>
    </row>
    <row r="46" customFormat="false" ht="15.75" hidden="false" customHeight="true" outlineLevel="0" collapsed="false">
      <c r="A46" s="42" t="n">
        <v>39</v>
      </c>
      <c r="B46" s="25"/>
      <c r="C46" s="25"/>
      <c r="D46" s="24"/>
      <c r="E46" s="24"/>
      <c r="F46" s="28" t="str">
        <f aca="false">IF(OR($D46="",$E46=""),"",IF($D46=$E46,"SÍ","NO"))</f>
        <v/>
      </c>
      <c r="G46" s="28" t="str">
        <f aca="false">IF(OR($D46="",$E46=""),"",$D46-$E46)</f>
        <v/>
      </c>
    </row>
    <row r="47" customFormat="false" ht="15.75" hidden="false" customHeight="true" outlineLevel="0" collapsed="false">
      <c r="A47" s="42" t="n">
        <v>40</v>
      </c>
      <c r="B47" s="25"/>
      <c r="C47" s="25"/>
      <c r="D47" s="24"/>
      <c r="E47" s="24"/>
      <c r="F47" s="28" t="str">
        <f aca="false">IF(OR($D47="",$E47=""),"",IF($D47=$E47,"SÍ","NO"))</f>
        <v/>
      </c>
      <c r="G47" s="28" t="str">
        <f aca="false">IF(OR($D47="",$E47=""),"",$D47-$E47)</f>
        <v/>
      </c>
    </row>
    <row r="48" customFormat="false" ht="15.75" hidden="false" customHeight="true" outlineLevel="0" collapsed="false">
      <c r="A48" s="42" t="n">
        <v>41</v>
      </c>
      <c r="B48" s="25"/>
      <c r="C48" s="25"/>
      <c r="D48" s="24"/>
      <c r="E48" s="24"/>
      <c r="F48" s="28" t="str">
        <f aca="false">IF(OR($D48="",$E48=""),"",IF($D48=$E48,"SÍ","NO"))</f>
        <v/>
      </c>
      <c r="G48" s="28" t="str">
        <f aca="false">IF(OR($D48="",$E48=""),"",$D48-$E48)</f>
        <v/>
      </c>
    </row>
    <row r="49" customFormat="false" ht="15.75" hidden="false" customHeight="true" outlineLevel="0" collapsed="false">
      <c r="A49" s="42" t="n">
        <v>42</v>
      </c>
      <c r="B49" s="25"/>
      <c r="C49" s="25"/>
      <c r="D49" s="24"/>
      <c r="E49" s="24"/>
      <c r="F49" s="28" t="str">
        <f aca="false">IF(OR($D49="",$E49=""),"",IF($D49=$E49,"SÍ","NO"))</f>
        <v/>
      </c>
      <c r="G49" s="28" t="str">
        <f aca="false">IF(OR($D49="",$E49=""),"",$D49-$E49)</f>
        <v/>
      </c>
    </row>
    <row r="50" customFormat="false" ht="15.75" hidden="false" customHeight="true" outlineLevel="0" collapsed="false">
      <c r="A50" s="42" t="n">
        <v>43</v>
      </c>
      <c r="B50" s="25"/>
      <c r="C50" s="25"/>
      <c r="D50" s="24"/>
      <c r="E50" s="24"/>
      <c r="F50" s="28" t="str">
        <f aca="false">IF(OR($D50="",$E50=""),"",IF($D50=$E50,"SÍ","NO"))</f>
        <v/>
      </c>
      <c r="G50" s="28" t="str">
        <f aca="false">IF(OR($D50="",$E50=""),"",$D50-$E50)</f>
        <v/>
      </c>
    </row>
    <row r="51" customFormat="false" ht="15.75" hidden="false" customHeight="true" outlineLevel="0" collapsed="false">
      <c r="A51" s="42" t="n">
        <v>44</v>
      </c>
      <c r="B51" s="25"/>
      <c r="C51" s="25"/>
      <c r="D51" s="24"/>
      <c r="E51" s="24"/>
      <c r="F51" s="28" t="str">
        <f aca="false">IF(OR($D51="",$E51=""),"",IF($D51=$E51,"SÍ","NO"))</f>
        <v/>
      </c>
      <c r="G51" s="28" t="str">
        <f aca="false">IF(OR($D51="",$E51=""),"",$D51-$E51)</f>
        <v/>
      </c>
    </row>
    <row r="52" customFormat="false" ht="15.75" hidden="false" customHeight="true" outlineLevel="0" collapsed="false">
      <c r="A52" s="42" t="n">
        <v>45</v>
      </c>
      <c r="B52" s="25"/>
      <c r="C52" s="25"/>
      <c r="D52" s="24"/>
      <c r="E52" s="24"/>
      <c r="F52" s="28" t="str">
        <f aca="false">IF(OR($D52="",$E52=""),"",IF($D52=$E52,"SÍ","NO"))</f>
        <v/>
      </c>
      <c r="G52" s="28" t="str">
        <f aca="false">IF(OR($D52="",$E52=""),"",$D52-$E52)</f>
        <v/>
      </c>
    </row>
    <row r="53" customFormat="false" ht="15.75" hidden="false" customHeight="true" outlineLevel="0" collapsed="false">
      <c r="A53" s="42" t="n">
        <v>46</v>
      </c>
      <c r="B53" s="25"/>
      <c r="C53" s="25"/>
      <c r="D53" s="24"/>
      <c r="E53" s="24"/>
      <c r="F53" s="28" t="str">
        <f aca="false">IF(OR($D53="",$E53=""),"",IF($D53=$E53,"SÍ","NO"))</f>
        <v/>
      </c>
      <c r="G53" s="28" t="str">
        <f aca="false">IF(OR($D53="",$E53=""),"",$D53-$E53)</f>
        <v/>
      </c>
    </row>
    <row r="54" customFormat="false" ht="15.75" hidden="false" customHeight="true" outlineLevel="0" collapsed="false">
      <c r="A54" s="42" t="n">
        <v>47</v>
      </c>
      <c r="B54" s="25"/>
      <c r="C54" s="25"/>
      <c r="D54" s="24"/>
      <c r="E54" s="24"/>
      <c r="F54" s="28" t="str">
        <f aca="false">IF(OR($D54="",$E54=""),"",IF($D54=$E54,"SÍ","NO"))</f>
        <v/>
      </c>
      <c r="G54" s="28" t="str">
        <f aca="false">IF(OR($D54="",$E54=""),"",$D54-$E54)</f>
        <v/>
      </c>
    </row>
    <row r="55" customFormat="false" ht="15.75" hidden="false" customHeight="true" outlineLevel="0" collapsed="false">
      <c r="A55" s="42" t="n">
        <v>48</v>
      </c>
      <c r="B55" s="25"/>
      <c r="C55" s="25"/>
      <c r="D55" s="24"/>
      <c r="E55" s="24"/>
      <c r="F55" s="28" t="str">
        <f aca="false">IF(OR($D55="",$E55=""),"",IF($D55=$E55,"SÍ","NO"))</f>
        <v/>
      </c>
      <c r="G55" s="28" t="str">
        <f aca="false">IF(OR($D55="",$E55=""),"",$D55-$E55)</f>
        <v/>
      </c>
    </row>
    <row r="56" customFormat="false" ht="15.75" hidden="false" customHeight="true" outlineLevel="0" collapsed="false">
      <c r="A56" s="42" t="n">
        <v>49</v>
      </c>
      <c r="B56" s="25"/>
      <c r="C56" s="25"/>
      <c r="D56" s="24"/>
      <c r="E56" s="24"/>
      <c r="F56" s="28" t="str">
        <f aca="false">IF(OR($D56="",$E56=""),"",IF($D56=$E56,"SÍ","NO"))</f>
        <v/>
      </c>
      <c r="G56" s="28" t="str">
        <f aca="false">IF(OR($D56="",$E56=""),"",$D56-$E56)</f>
        <v/>
      </c>
    </row>
    <row r="57" customFormat="false" ht="15.75" hidden="false" customHeight="true" outlineLevel="0" collapsed="false">
      <c r="A57" s="42" t="n">
        <v>50</v>
      </c>
      <c r="B57" s="25"/>
      <c r="C57" s="25"/>
      <c r="D57" s="24"/>
      <c r="E57" s="24"/>
      <c r="F57" s="28" t="str">
        <f aca="false">IF(OR($D57="",$E57=""),"",IF($D57=$E57,"SÍ","NO"))</f>
        <v/>
      </c>
      <c r="G57" s="28" t="str">
        <f aca="false">IF(OR($D57="",$E57=""),"",$D57-$E57)</f>
        <v/>
      </c>
    </row>
    <row r="58" customFormat="false" ht="15.75" hidden="false" customHeight="true" outlineLevel="0" collapsed="false">
      <c r="A58" s="42" t="n">
        <v>51</v>
      </c>
      <c r="B58" s="25"/>
      <c r="C58" s="25"/>
      <c r="D58" s="24"/>
      <c r="E58" s="24"/>
      <c r="F58" s="28" t="str">
        <f aca="false">IF(OR($D58="",$E58=""),"",IF($D58=$E58,"SÍ","NO"))</f>
        <v/>
      </c>
      <c r="G58" s="28" t="str">
        <f aca="false">IF(OR($D58="",$E58=""),"",$D58-$E58)</f>
        <v/>
      </c>
    </row>
    <row r="59" customFormat="false" ht="15.75" hidden="false" customHeight="true" outlineLevel="0" collapsed="false">
      <c r="A59" s="42" t="n">
        <v>52</v>
      </c>
      <c r="B59" s="25"/>
      <c r="C59" s="25"/>
      <c r="D59" s="24"/>
      <c r="E59" s="24"/>
      <c r="F59" s="28" t="str">
        <f aca="false">IF(OR($D59="",$E59=""),"",IF($D59=$E59,"SÍ","NO"))</f>
        <v/>
      </c>
      <c r="G59" s="28" t="str">
        <f aca="false">IF(OR($D59="",$E59=""),"",$D59-$E59)</f>
        <v/>
      </c>
    </row>
    <row r="60" customFormat="false" ht="15.75" hidden="false" customHeight="true" outlineLevel="0" collapsed="false">
      <c r="A60" s="42" t="n">
        <v>53</v>
      </c>
      <c r="B60" s="25"/>
      <c r="C60" s="25"/>
      <c r="D60" s="24"/>
      <c r="E60" s="24"/>
      <c r="F60" s="28" t="str">
        <f aca="false">IF(OR($D60="",$E60=""),"",IF($D60=$E60,"SÍ","NO"))</f>
        <v/>
      </c>
      <c r="G60" s="28" t="str">
        <f aca="false">IF(OR($D60="",$E60=""),"",$D60-$E60)</f>
        <v/>
      </c>
    </row>
    <row r="61" customFormat="false" ht="15.75" hidden="false" customHeight="true" outlineLevel="0" collapsed="false">
      <c r="A61" s="42" t="n">
        <v>54</v>
      </c>
      <c r="B61" s="25"/>
      <c r="C61" s="25"/>
      <c r="D61" s="24"/>
      <c r="E61" s="24"/>
      <c r="F61" s="28" t="str">
        <f aca="false">IF(OR($D61="",$E61=""),"",IF($D61=$E61,"SÍ","NO"))</f>
        <v/>
      </c>
      <c r="G61" s="28" t="str">
        <f aca="false">IF(OR($D61="",$E61=""),"",$D61-$E61)</f>
        <v/>
      </c>
    </row>
    <row r="62" customFormat="false" ht="15.75" hidden="false" customHeight="true" outlineLevel="0" collapsed="false">
      <c r="A62" s="42" t="n">
        <v>55</v>
      </c>
      <c r="B62" s="25"/>
      <c r="C62" s="25"/>
      <c r="D62" s="24"/>
      <c r="E62" s="24"/>
      <c r="F62" s="28" t="str">
        <f aca="false">IF(OR($D62="",$E62=""),"",IF($D62=$E62,"SÍ","NO"))</f>
        <v/>
      </c>
      <c r="G62" s="28" t="str">
        <f aca="false">IF(OR($D62="",$E62=""),"",$D62-$E62)</f>
        <v/>
      </c>
    </row>
    <row r="63" customFormat="false" ht="15.75" hidden="false" customHeight="true" outlineLevel="0" collapsed="false">
      <c r="A63" s="42" t="n">
        <v>56</v>
      </c>
      <c r="B63" s="25"/>
      <c r="C63" s="25"/>
      <c r="D63" s="24"/>
      <c r="E63" s="24"/>
      <c r="F63" s="28" t="str">
        <f aca="false">IF(OR($D63="",$E63=""),"",IF($D63=$E63,"SÍ","NO"))</f>
        <v/>
      </c>
      <c r="G63" s="28" t="str">
        <f aca="false">IF(OR($D63="",$E63=""),"",$D63-$E63)</f>
        <v/>
      </c>
    </row>
    <row r="64" customFormat="false" ht="15.75" hidden="false" customHeight="true" outlineLevel="0" collapsed="false">
      <c r="A64" s="42" t="n">
        <v>57</v>
      </c>
      <c r="B64" s="25"/>
      <c r="C64" s="25"/>
      <c r="D64" s="24"/>
      <c r="E64" s="24"/>
      <c r="F64" s="28" t="str">
        <f aca="false">IF(OR($D64="",$E64=""),"",IF($D64=$E64,"SÍ","NO"))</f>
        <v/>
      </c>
      <c r="G64" s="28" t="str">
        <f aca="false">IF(OR($D64="",$E64=""),"",$D64-$E64)</f>
        <v/>
      </c>
    </row>
    <row r="65" customFormat="false" ht="15.75" hidden="false" customHeight="true" outlineLevel="0" collapsed="false">
      <c r="A65" s="42" t="n">
        <v>58</v>
      </c>
      <c r="B65" s="25"/>
      <c r="C65" s="25"/>
      <c r="D65" s="24"/>
      <c r="E65" s="24"/>
      <c r="F65" s="28" t="str">
        <f aca="false">IF(OR($D65="",$E65=""),"",IF($D65=$E65,"SÍ","NO"))</f>
        <v/>
      </c>
      <c r="G65" s="28" t="str">
        <f aca="false">IF(OR($D65="",$E65=""),"",$D65-$E65)</f>
        <v/>
      </c>
    </row>
    <row r="66" customFormat="false" ht="15.75" hidden="false" customHeight="true" outlineLevel="0" collapsed="false">
      <c r="A66" s="42" t="n">
        <v>59</v>
      </c>
      <c r="B66" s="25"/>
      <c r="C66" s="25"/>
      <c r="D66" s="24"/>
      <c r="E66" s="24"/>
      <c r="F66" s="28" t="str">
        <f aca="false">IF(OR($D66="",$E66=""),"",IF($D66=$E66,"SÍ","NO"))</f>
        <v/>
      </c>
      <c r="G66" s="28" t="str">
        <f aca="false">IF(OR($D66="",$E66=""),"",$D66-$E66)</f>
        <v/>
      </c>
    </row>
    <row r="67" customFormat="false" ht="15.75" hidden="false" customHeight="true" outlineLevel="0" collapsed="false">
      <c r="A67" s="42" t="n">
        <v>60</v>
      </c>
      <c r="B67" s="25"/>
      <c r="C67" s="25"/>
      <c r="D67" s="24"/>
      <c r="E67" s="24"/>
      <c r="F67" s="28" t="str">
        <f aca="false">IF(OR($D67="",$E67=""),"",IF($D67=$E67,"SÍ","NO"))</f>
        <v/>
      </c>
      <c r="G67" s="28" t="str">
        <f aca="false">IF(OR($D67="",$E67=""),"",$D67-$E67)</f>
        <v/>
      </c>
    </row>
    <row r="68" customFormat="false" ht="15.75" hidden="false" customHeight="true" outlineLevel="0" collapsed="false">
      <c r="A68" s="42" t="n">
        <v>61</v>
      </c>
      <c r="B68" s="25"/>
      <c r="C68" s="25"/>
      <c r="D68" s="24"/>
      <c r="E68" s="24"/>
      <c r="F68" s="28" t="str">
        <f aca="false">IF(OR($D68="",$E68=""),"",IF($D68=$E68,"SÍ","NO"))</f>
        <v/>
      </c>
      <c r="G68" s="28" t="str">
        <f aca="false">IF(OR($D68="",$E68=""),"",$D68-$E68)</f>
        <v/>
      </c>
    </row>
    <row r="69" customFormat="false" ht="15.75" hidden="false" customHeight="true" outlineLevel="0" collapsed="false">
      <c r="A69" s="42" t="n">
        <v>62</v>
      </c>
      <c r="B69" s="25"/>
      <c r="C69" s="25"/>
      <c r="D69" s="24"/>
      <c r="E69" s="24"/>
      <c r="F69" s="28" t="str">
        <f aca="false">IF(OR($D69="",$E69=""),"",IF($D69=$E69,"SÍ","NO"))</f>
        <v/>
      </c>
      <c r="G69" s="28" t="str">
        <f aca="false">IF(OR($D69="",$E69=""),"",$D69-$E69)</f>
        <v/>
      </c>
    </row>
    <row r="70" customFormat="false" ht="15.75" hidden="false" customHeight="true" outlineLevel="0" collapsed="false">
      <c r="A70" s="42" t="n">
        <v>63</v>
      </c>
      <c r="B70" s="25"/>
      <c r="C70" s="25"/>
      <c r="D70" s="24"/>
      <c r="E70" s="24"/>
      <c r="F70" s="28" t="str">
        <f aca="false">IF(OR($D70="",$E70=""),"",IF($D70=$E70,"SÍ","NO"))</f>
        <v/>
      </c>
      <c r="G70" s="28" t="str">
        <f aca="false">IF(OR($D70="",$E70=""),"",$D70-$E70)</f>
        <v/>
      </c>
    </row>
    <row r="71" customFormat="false" ht="15.75" hidden="false" customHeight="true" outlineLevel="0" collapsed="false">
      <c r="A71" s="42" t="n">
        <v>64</v>
      </c>
      <c r="B71" s="25"/>
      <c r="C71" s="25"/>
      <c r="D71" s="24"/>
      <c r="E71" s="24"/>
      <c r="F71" s="28" t="str">
        <f aca="false">IF(OR($D71="",$E71=""),"",IF($D71=$E71,"SÍ","NO"))</f>
        <v/>
      </c>
      <c r="G71" s="28" t="str">
        <f aca="false">IF(OR($D71="",$E71=""),"",$D71-$E71)</f>
        <v/>
      </c>
    </row>
    <row r="72" customFormat="false" ht="15.75" hidden="false" customHeight="true" outlineLevel="0" collapsed="false">
      <c r="A72" s="42" t="n">
        <v>65</v>
      </c>
      <c r="B72" s="25"/>
      <c r="C72" s="25"/>
      <c r="D72" s="24"/>
      <c r="E72" s="24"/>
      <c r="F72" s="28" t="str">
        <f aca="false">IF(OR($D72="",$E72=""),"",IF($D72=$E72,"SÍ","NO"))</f>
        <v/>
      </c>
      <c r="G72" s="28" t="str">
        <f aca="false">IF(OR($D72="",$E72=""),"",$D72-$E72)</f>
        <v/>
      </c>
    </row>
    <row r="73" customFormat="false" ht="15.75" hidden="false" customHeight="true" outlineLevel="0" collapsed="false">
      <c r="A73" s="42" t="n">
        <v>66</v>
      </c>
      <c r="B73" s="25"/>
      <c r="C73" s="25"/>
      <c r="D73" s="24"/>
      <c r="E73" s="24"/>
      <c r="F73" s="28" t="str">
        <f aca="false">IF(OR($D73="",$E73=""),"",IF($D73=$E73,"SÍ","NO"))</f>
        <v/>
      </c>
      <c r="G73" s="28" t="str">
        <f aca="false">IF(OR($D73="",$E73=""),"",$D73-$E73)</f>
        <v/>
      </c>
    </row>
    <row r="74" customFormat="false" ht="15.75" hidden="false" customHeight="true" outlineLevel="0" collapsed="false">
      <c r="A74" s="42" t="n">
        <v>67</v>
      </c>
      <c r="B74" s="25"/>
      <c r="C74" s="25"/>
      <c r="D74" s="24"/>
      <c r="E74" s="24"/>
      <c r="F74" s="28" t="str">
        <f aca="false">IF(OR($D74="",$E74=""),"",IF($D74=$E74,"SÍ","NO"))</f>
        <v/>
      </c>
      <c r="G74" s="28" t="str">
        <f aca="false">IF(OR($D74="",$E74=""),"",$D74-$E74)</f>
        <v/>
      </c>
    </row>
    <row r="75" customFormat="false" ht="15.75" hidden="false" customHeight="true" outlineLevel="0" collapsed="false">
      <c r="A75" s="42" t="n">
        <v>68</v>
      </c>
      <c r="B75" s="25"/>
      <c r="C75" s="25"/>
      <c r="D75" s="24"/>
      <c r="E75" s="24"/>
      <c r="F75" s="28" t="str">
        <f aca="false">IF(OR($D75="",$E75=""),"",IF($D75=$E75,"SÍ","NO"))</f>
        <v/>
      </c>
      <c r="G75" s="28" t="str">
        <f aca="false">IF(OR($D75="",$E75=""),"",$D75-$E75)</f>
        <v/>
      </c>
    </row>
    <row r="76" customFormat="false" ht="15.75" hidden="false" customHeight="true" outlineLevel="0" collapsed="false">
      <c r="A76" s="42" t="n">
        <v>69</v>
      </c>
      <c r="B76" s="25"/>
      <c r="C76" s="25"/>
      <c r="D76" s="24"/>
      <c r="E76" s="24"/>
      <c r="F76" s="28" t="str">
        <f aca="false">IF(OR($D76="",$E76=""),"",IF($D76=$E76,"SÍ","NO"))</f>
        <v/>
      </c>
      <c r="G76" s="28" t="str">
        <f aca="false">IF(OR($D76="",$E76=""),"",$D76-$E76)</f>
        <v/>
      </c>
    </row>
    <row r="77" customFormat="false" ht="15.75" hidden="false" customHeight="true" outlineLevel="0" collapsed="false">
      <c r="A77" s="42" t="n">
        <v>70</v>
      </c>
      <c r="B77" s="25"/>
      <c r="C77" s="25"/>
      <c r="D77" s="24"/>
      <c r="E77" s="24"/>
      <c r="F77" s="28" t="str">
        <f aca="false">IF(OR($D77="",$E77=""),"",IF($D77=$E77,"SÍ","NO"))</f>
        <v/>
      </c>
      <c r="G77" s="28" t="str">
        <f aca="false">IF(OR($D77="",$E77=""),"",$D77-$E77)</f>
        <v/>
      </c>
    </row>
    <row r="78" customFormat="false" ht="15.75" hidden="false" customHeight="true" outlineLevel="0" collapsed="false">
      <c r="A78" s="42" t="n">
        <v>71</v>
      </c>
      <c r="B78" s="25"/>
      <c r="C78" s="25"/>
      <c r="D78" s="24"/>
      <c r="E78" s="24"/>
      <c r="F78" s="28" t="str">
        <f aca="false">IF(OR($D78="",$E78=""),"",IF($D78=$E78,"SÍ","NO"))</f>
        <v/>
      </c>
      <c r="G78" s="28" t="str">
        <f aca="false">IF(OR($D78="",$E78=""),"",$D78-$E78)</f>
        <v/>
      </c>
    </row>
    <row r="79" customFormat="false" ht="15.75" hidden="false" customHeight="true" outlineLevel="0" collapsed="false">
      <c r="A79" s="42" t="n">
        <v>72</v>
      </c>
      <c r="B79" s="25"/>
      <c r="C79" s="25"/>
      <c r="D79" s="24"/>
      <c r="E79" s="24"/>
      <c r="F79" s="28" t="str">
        <f aca="false">IF(OR($D79="",$E79=""),"",IF($D79=$E79,"SÍ","NO"))</f>
        <v/>
      </c>
      <c r="G79" s="28" t="str">
        <f aca="false">IF(OR($D79="",$E79=""),"",$D79-$E79)</f>
        <v/>
      </c>
    </row>
    <row r="80" customFormat="false" ht="15.75" hidden="false" customHeight="true" outlineLevel="0" collapsed="false">
      <c r="A80" s="42" t="n">
        <v>73</v>
      </c>
      <c r="B80" s="25"/>
      <c r="C80" s="25"/>
      <c r="D80" s="24"/>
      <c r="E80" s="24"/>
      <c r="F80" s="28" t="str">
        <f aca="false">IF(OR($D80="",$E80=""),"",IF($D80=$E80,"SÍ","NO"))</f>
        <v/>
      </c>
      <c r="G80" s="28" t="str">
        <f aca="false">IF(OR($D80="",$E80=""),"",$D80-$E80)</f>
        <v/>
      </c>
    </row>
    <row r="81" customFormat="false" ht="15.75" hidden="false" customHeight="true" outlineLevel="0" collapsed="false">
      <c r="A81" s="42" t="n">
        <v>74</v>
      </c>
      <c r="B81" s="25"/>
      <c r="C81" s="25"/>
      <c r="D81" s="24"/>
      <c r="E81" s="24"/>
      <c r="F81" s="28" t="str">
        <f aca="false">IF(OR($D81="",$E81=""),"",IF($D81=$E81,"SÍ","NO"))</f>
        <v/>
      </c>
      <c r="G81" s="28" t="str">
        <f aca="false">IF(OR($D81="",$E81=""),"",$D81-$E81)</f>
        <v/>
      </c>
    </row>
    <row r="82" customFormat="false" ht="15.75" hidden="false" customHeight="true" outlineLevel="0" collapsed="false">
      <c r="A82" s="42" t="n">
        <v>75</v>
      </c>
      <c r="B82" s="25"/>
      <c r="C82" s="25"/>
      <c r="D82" s="24"/>
      <c r="E82" s="24"/>
      <c r="F82" s="28" t="str">
        <f aca="false">IF(OR($D82="",$E82=""),"",IF($D82=$E82,"SÍ","NO"))</f>
        <v/>
      </c>
      <c r="G82" s="28" t="str">
        <f aca="false">IF(OR($D82="",$E82=""),"",$D82-$E82)</f>
        <v/>
      </c>
    </row>
    <row r="83" customFormat="false" ht="15.75" hidden="false" customHeight="true" outlineLevel="0" collapsed="false">
      <c r="A83" s="42" t="n">
        <v>76</v>
      </c>
      <c r="B83" s="25"/>
      <c r="C83" s="25"/>
      <c r="D83" s="24"/>
      <c r="E83" s="24"/>
      <c r="F83" s="28" t="str">
        <f aca="false">IF(OR($D83="",$E83=""),"",IF($D83=$E83,"SÍ","NO"))</f>
        <v/>
      </c>
      <c r="G83" s="28" t="str">
        <f aca="false">IF(OR($D83="",$E83=""),"",$D83-$E83)</f>
        <v/>
      </c>
    </row>
    <row r="84" customFormat="false" ht="15.75" hidden="false" customHeight="true" outlineLevel="0" collapsed="false">
      <c r="A84" s="42" t="n">
        <v>77</v>
      </c>
      <c r="B84" s="25"/>
      <c r="C84" s="25"/>
      <c r="D84" s="24"/>
      <c r="E84" s="24"/>
      <c r="F84" s="28" t="str">
        <f aca="false">IF(OR($D84="",$E84=""),"",IF($D84=$E84,"SÍ","NO"))</f>
        <v/>
      </c>
      <c r="G84" s="28" t="str">
        <f aca="false">IF(OR($D84="",$E84=""),"",$D84-$E84)</f>
        <v/>
      </c>
    </row>
    <row r="85" customFormat="false" ht="15.75" hidden="false" customHeight="true" outlineLevel="0" collapsed="false">
      <c r="A85" s="42" t="n">
        <v>78</v>
      </c>
      <c r="B85" s="25"/>
      <c r="C85" s="25"/>
      <c r="D85" s="24"/>
      <c r="E85" s="24"/>
      <c r="F85" s="28" t="str">
        <f aca="false">IF(OR($D85="",$E85=""),"",IF($D85=$E85,"SÍ","NO"))</f>
        <v/>
      </c>
      <c r="G85" s="28" t="str">
        <f aca="false">IF(OR($D85="",$E85=""),"",$D85-$E85)</f>
        <v/>
      </c>
    </row>
    <row r="86" customFormat="false" ht="15.75" hidden="false" customHeight="true" outlineLevel="0" collapsed="false">
      <c r="A86" s="42" t="n">
        <v>79</v>
      </c>
      <c r="B86" s="25"/>
      <c r="C86" s="25"/>
      <c r="D86" s="24"/>
      <c r="E86" s="24"/>
      <c r="F86" s="28" t="str">
        <f aca="false">IF(OR($D86="",$E86=""),"",IF($D86=$E86,"SÍ","NO"))</f>
        <v/>
      </c>
      <c r="G86" s="28" t="str">
        <f aca="false">IF(OR($D86="",$E86=""),"",$D86-$E86)</f>
        <v/>
      </c>
    </row>
    <row r="87" customFormat="false" ht="15.75" hidden="false" customHeight="true" outlineLevel="0" collapsed="false">
      <c r="A87" s="42" t="n">
        <v>80</v>
      </c>
      <c r="B87" s="25"/>
      <c r="C87" s="25"/>
      <c r="D87" s="24"/>
      <c r="E87" s="24"/>
      <c r="F87" s="28" t="str">
        <f aca="false">IF(OR($D87="",$E87=""),"",IF($D87=$E87,"SÍ","NO"))</f>
        <v/>
      </c>
      <c r="G87" s="28" t="str">
        <f aca="false">IF(OR($D87="",$E87=""),"",$D87-$E87)</f>
        <v/>
      </c>
    </row>
    <row r="88" customFormat="false" ht="15.75" hidden="false" customHeight="true" outlineLevel="0" collapsed="false">
      <c r="A88" s="42" t="n">
        <v>81</v>
      </c>
      <c r="B88" s="25"/>
      <c r="C88" s="25"/>
      <c r="D88" s="24"/>
      <c r="E88" s="24"/>
      <c r="F88" s="28" t="str">
        <f aca="false">IF(OR($D88="",$E88=""),"",IF($D88=$E88,"SÍ","NO"))</f>
        <v/>
      </c>
      <c r="G88" s="28" t="str">
        <f aca="false">IF(OR($D88="",$E88=""),"",$D88-$E88)</f>
        <v/>
      </c>
    </row>
    <row r="89" customFormat="false" ht="15.75" hidden="false" customHeight="true" outlineLevel="0" collapsed="false">
      <c r="A89" s="42" t="n">
        <v>82</v>
      </c>
      <c r="B89" s="25"/>
      <c r="C89" s="25"/>
      <c r="D89" s="24"/>
      <c r="E89" s="24"/>
      <c r="F89" s="28" t="str">
        <f aca="false">IF(OR($D89="",$E89=""),"",IF($D89=$E89,"SÍ","NO"))</f>
        <v/>
      </c>
      <c r="G89" s="28" t="str">
        <f aca="false">IF(OR($D89="",$E89=""),"",$D89-$E89)</f>
        <v/>
      </c>
    </row>
    <row r="90" customFormat="false" ht="15.75" hidden="false" customHeight="true" outlineLevel="0" collapsed="false">
      <c r="A90" s="42" t="n">
        <v>83</v>
      </c>
      <c r="B90" s="25"/>
      <c r="C90" s="25"/>
      <c r="D90" s="24"/>
      <c r="E90" s="24"/>
      <c r="F90" s="28" t="str">
        <f aca="false">IF(OR($D90="",$E90=""),"",IF($D90=$E90,"SÍ","NO"))</f>
        <v/>
      </c>
      <c r="G90" s="28" t="str">
        <f aca="false">IF(OR($D90="",$E90=""),"",$D90-$E90)</f>
        <v/>
      </c>
    </row>
    <row r="91" customFormat="false" ht="15.75" hidden="false" customHeight="true" outlineLevel="0" collapsed="false">
      <c r="A91" s="42" t="n">
        <v>84</v>
      </c>
      <c r="B91" s="25"/>
      <c r="C91" s="25"/>
      <c r="D91" s="24"/>
      <c r="E91" s="24"/>
      <c r="F91" s="28" t="str">
        <f aca="false">IF(OR($D91="",$E91=""),"",IF($D91=$E91,"SÍ","NO"))</f>
        <v/>
      </c>
      <c r="G91" s="28" t="str">
        <f aca="false">IF(OR($D91="",$E91=""),"",$D91-$E91)</f>
        <v/>
      </c>
    </row>
    <row r="92" customFormat="false" ht="15.75" hidden="false" customHeight="true" outlineLevel="0" collapsed="false">
      <c r="A92" s="42" t="n">
        <v>85</v>
      </c>
      <c r="B92" s="25"/>
      <c r="C92" s="25"/>
      <c r="D92" s="24"/>
      <c r="E92" s="24"/>
      <c r="F92" s="28" t="str">
        <f aca="false">IF(OR($D92="",$E92=""),"",IF($D92=$E92,"SÍ","NO"))</f>
        <v/>
      </c>
      <c r="G92" s="28" t="str">
        <f aca="false">IF(OR($D92="",$E92=""),"",$D92-$E92)</f>
        <v/>
      </c>
    </row>
    <row r="93" customFormat="false" ht="15.75" hidden="false" customHeight="true" outlineLevel="0" collapsed="false">
      <c r="A93" s="42" t="n">
        <v>86</v>
      </c>
      <c r="B93" s="25"/>
      <c r="C93" s="25"/>
      <c r="D93" s="24"/>
      <c r="E93" s="24"/>
      <c r="F93" s="28" t="str">
        <f aca="false">IF(OR($D93="",$E93=""),"",IF($D93=$E93,"SÍ","NO"))</f>
        <v/>
      </c>
      <c r="G93" s="28" t="str">
        <f aca="false">IF(OR($D93="",$E93=""),"",$D93-$E93)</f>
        <v/>
      </c>
    </row>
    <row r="94" customFormat="false" ht="15.75" hidden="false" customHeight="true" outlineLevel="0" collapsed="false">
      <c r="A94" s="42" t="n">
        <v>87</v>
      </c>
      <c r="B94" s="25"/>
      <c r="C94" s="25"/>
      <c r="D94" s="24"/>
      <c r="E94" s="24"/>
      <c r="F94" s="28" t="str">
        <f aca="false">IF(OR($D94="",$E94=""),"",IF($D94=$E94,"SÍ","NO"))</f>
        <v/>
      </c>
      <c r="G94" s="28" t="str">
        <f aca="false">IF(OR($D94="",$E94=""),"",$D94-$E94)</f>
        <v/>
      </c>
    </row>
    <row r="95" customFormat="false" ht="15.75" hidden="false" customHeight="true" outlineLevel="0" collapsed="false">
      <c r="A95" s="42" t="n">
        <v>88</v>
      </c>
      <c r="B95" s="25"/>
      <c r="C95" s="25"/>
      <c r="D95" s="24"/>
      <c r="E95" s="24"/>
      <c r="F95" s="28" t="str">
        <f aca="false">IF(OR($D95="",$E95=""),"",IF($D95=$E95,"SÍ","NO"))</f>
        <v/>
      </c>
      <c r="G95" s="28" t="str">
        <f aca="false">IF(OR($D95="",$E95=""),"",$D95-$E95)</f>
        <v/>
      </c>
    </row>
    <row r="96" customFormat="false" ht="15.75" hidden="false" customHeight="true" outlineLevel="0" collapsed="false">
      <c r="A96" s="42" t="n">
        <v>89</v>
      </c>
      <c r="B96" s="25"/>
      <c r="C96" s="25"/>
      <c r="D96" s="24"/>
      <c r="E96" s="24"/>
      <c r="F96" s="28" t="str">
        <f aca="false">IF(OR($D96="",$E96=""),"",IF($D96=$E96,"SÍ","NO"))</f>
        <v/>
      </c>
      <c r="G96" s="28" t="str">
        <f aca="false">IF(OR($D96="",$E96=""),"",$D96-$E96)</f>
        <v/>
      </c>
    </row>
    <row r="97" customFormat="false" ht="15.75" hidden="false" customHeight="true" outlineLevel="0" collapsed="false">
      <c r="A97" s="42" t="n">
        <v>90</v>
      </c>
      <c r="B97" s="25"/>
      <c r="C97" s="25"/>
      <c r="D97" s="24"/>
      <c r="E97" s="24"/>
      <c r="F97" s="28" t="str">
        <f aca="false">IF(OR($D97="",$E97=""),"",IF($D97=$E97,"SÍ","NO"))</f>
        <v/>
      </c>
      <c r="G97" s="28" t="str">
        <f aca="false">IF(OR($D97="",$E97=""),"",$D97-$E97)</f>
        <v/>
      </c>
    </row>
    <row r="98" customFormat="false" ht="15.75" hidden="false" customHeight="true" outlineLevel="0" collapsed="false">
      <c r="A98" s="42" t="n">
        <v>91</v>
      </c>
      <c r="B98" s="25"/>
      <c r="C98" s="25"/>
      <c r="D98" s="24"/>
      <c r="E98" s="24"/>
      <c r="F98" s="28" t="str">
        <f aca="false">IF(OR($D98="",$E98=""),"",IF($D98=$E98,"SÍ","NO"))</f>
        <v/>
      </c>
      <c r="G98" s="28" t="str">
        <f aca="false">IF(OR($D98="",$E98=""),"",$D98-$E98)</f>
        <v/>
      </c>
    </row>
    <row r="99" customFormat="false" ht="15.75" hidden="false" customHeight="true" outlineLevel="0" collapsed="false">
      <c r="A99" s="42" t="n">
        <v>92</v>
      </c>
      <c r="B99" s="25"/>
      <c r="C99" s="25"/>
      <c r="D99" s="24"/>
      <c r="E99" s="24"/>
      <c r="F99" s="28" t="str">
        <f aca="false">IF(OR($D99="",$E99=""),"",IF($D99=$E99,"SÍ","NO"))</f>
        <v/>
      </c>
      <c r="G99" s="28" t="str">
        <f aca="false">IF(OR($D99="",$E99=""),"",$D99-$E99)</f>
        <v/>
      </c>
    </row>
    <row r="100" customFormat="false" ht="15.75" hidden="false" customHeight="true" outlineLevel="0" collapsed="false">
      <c r="A100" s="42" t="n">
        <v>93</v>
      </c>
      <c r="B100" s="25"/>
      <c r="C100" s="25"/>
      <c r="D100" s="24"/>
      <c r="E100" s="24"/>
      <c r="F100" s="28" t="str">
        <f aca="false">IF(OR($D100="",$E100=""),"",IF($D100=$E100,"SÍ","NO"))</f>
        <v/>
      </c>
      <c r="G100" s="28" t="str">
        <f aca="false">IF(OR($D100="",$E100=""),"",$D100-$E100)</f>
        <v/>
      </c>
    </row>
    <row r="101" customFormat="false" ht="15.75" hidden="false" customHeight="true" outlineLevel="0" collapsed="false">
      <c r="A101" s="42" t="n">
        <v>94</v>
      </c>
      <c r="B101" s="25"/>
      <c r="C101" s="25"/>
      <c r="D101" s="24"/>
      <c r="E101" s="24"/>
      <c r="F101" s="28" t="str">
        <f aca="false">IF(OR($D101="",$E101=""),"",IF($D101=$E101,"SÍ","NO"))</f>
        <v/>
      </c>
      <c r="G101" s="28" t="str">
        <f aca="false">IF(OR($D101="",$E101=""),"",$D101-$E101)</f>
        <v/>
      </c>
    </row>
    <row r="102" customFormat="false" ht="15.75" hidden="false" customHeight="true" outlineLevel="0" collapsed="false">
      <c r="A102" s="42" t="n">
        <v>95</v>
      </c>
      <c r="B102" s="25"/>
      <c r="C102" s="25"/>
      <c r="D102" s="24"/>
      <c r="E102" s="24"/>
      <c r="F102" s="28" t="str">
        <f aca="false">IF(OR($D102="",$E102=""),"",IF($D102=$E102,"SÍ","NO"))</f>
        <v/>
      </c>
      <c r="G102" s="28" t="str">
        <f aca="false">IF(OR($D102="",$E102=""),"",$D102-$E102)</f>
        <v/>
      </c>
    </row>
    <row r="103" customFormat="false" ht="15.75" hidden="false" customHeight="true" outlineLevel="0" collapsed="false">
      <c r="A103" s="42" t="n">
        <v>96</v>
      </c>
      <c r="B103" s="25"/>
      <c r="C103" s="25"/>
      <c r="D103" s="24"/>
      <c r="E103" s="24"/>
      <c r="F103" s="28" t="str">
        <f aca="false">IF(OR($D103="",$E103=""),"",IF($D103=$E103,"SÍ","NO"))</f>
        <v/>
      </c>
      <c r="G103" s="28" t="str">
        <f aca="false">IF(OR($D103="",$E103=""),"",$D103-$E103)</f>
        <v/>
      </c>
    </row>
    <row r="104" customFormat="false" ht="15.75" hidden="false" customHeight="true" outlineLevel="0" collapsed="false">
      <c r="A104" s="42" t="n">
        <v>97</v>
      </c>
      <c r="B104" s="25"/>
      <c r="C104" s="25"/>
      <c r="D104" s="24"/>
      <c r="E104" s="24"/>
      <c r="F104" s="28" t="str">
        <f aca="false">IF(OR($D104="",$E104=""),"",IF($D104=$E104,"SÍ","NO"))</f>
        <v/>
      </c>
      <c r="G104" s="28" t="str">
        <f aca="false">IF(OR($D104="",$E104=""),"",$D104-$E104)</f>
        <v/>
      </c>
    </row>
    <row r="105" customFormat="false" ht="15.75" hidden="false" customHeight="true" outlineLevel="0" collapsed="false">
      <c r="A105" s="42" t="n">
        <v>98</v>
      </c>
      <c r="B105" s="25"/>
      <c r="C105" s="25"/>
      <c r="D105" s="24"/>
      <c r="E105" s="24"/>
      <c r="F105" s="28" t="str">
        <f aca="false">IF(OR($D105="",$E105=""),"",IF($D105=$E105,"SÍ","NO"))</f>
        <v/>
      </c>
      <c r="G105" s="28" t="str">
        <f aca="false">IF(OR($D105="",$E105=""),"",$D105-$E105)</f>
        <v/>
      </c>
    </row>
    <row r="106" customFormat="false" ht="15.75" hidden="false" customHeight="true" outlineLevel="0" collapsed="false">
      <c r="A106" s="42" t="n">
        <v>99</v>
      </c>
      <c r="B106" s="25"/>
      <c r="C106" s="25"/>
      <c r="D106" s="24"/>
      <c r="E106" s="24"/>
      <c r="F106" s="28" t="str">
        <f aca="false">IF(OR($D106="",$E106=""),"",IF($D106=$E106,"SÍ","NO"))</f>
        <v/>
      </c>
      <c r="G106" s="28" t="str">
        <f aca="false">IF(OR($D106="",$E106=""),"",$D106-$E106)</f>
        <v/>
      </c>
    </row>
    <row r="107" customFormat="false" ht="15.75" hidden="false" customHeight="true" outlineLevel="0" collapsed="false">
      <c r="A107" s="42" t="n">
        <v>100</v>
      </c>
      <c r="B107" s="25"/>
      <c r="C107" s="25"/>
      <c r="D107" s="24"/>
      <c r="E107" s="24"/>
      <c r="F107" s="28" t="str">
        <f aca="false">IF(OR($D107="",$E107=""),"",IF($D107=$E107,"SÍ","NO"))</f>
        <v/>
      </c>
      <c r="G107" s="28" t="str">
        <f aca="false">IF(OR($D107="",$E107=""),"",$D107-$E107)</f>
        <v/>
      </c>
    </row>
  </sheetData>
  <mergeCells count="2">
    <mergeCell ref="A1:G1"/>
    <mergeCell ref="A2:G2"/>
  </mergeCells>
  <conditionalFormatting sqref="F4">
    <cfRule type="cellIs" priority="2" operator="lessThan" aboveAverage="0" equalAverage="0" bottom="0" percent="0" rank="0" text="" dxfId="4">
      <formula>0.95</formula>
    </cfRule>
  </conditionalFormatting>
  <conditionalFormatting sqref="F8:F107">
    <cfRule type="cellIs" priority="3" operator="equal" aboveAverage="0" equalAverage="0" bottom="0" percent="0" rank="0" text="" dxfId="3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3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3"/>
  </cols>
  <sheetData>
    <row r="1" customFormat="false" ht="24" hidden="false" customHeight="true" outlineLevel="0" collapsed="false">
      <c r="A1" s="11" t="s">
        <v>131</v>
      </c>
      <c r="B1" s="11"/>
      <c r="C1" s="11"/>
      <c r="D1" s="11"/>
      <c r="E1" s="11"/>
      <c r="F1" s="11"/>
      <c r="G1" s="11"/>
      <c r="H1" s="11"/>
      <c r="I1" s="11"/>
    </row>
    <row r="2" customFormat="false" ht="30" hidden="false" customHeight="true" outlineLevel="0" collapsed="false">
      <c r="A2" s="12" t="s">
        <v>132</v>
      </c>
      <c r="B2" s="12"/>
      <c r="C2" s="12"/>
      <c r="D2" s="12"/>
      <c r="E2" s="12"/>
      <c r="F2" s="12"/>
      <c r="G2" s="12"/>
      <c r="H2" s="12"/>
      <c r="I2" s="12"/>
    </row>
    <row r="4" customFormat="false" ht="30" hidden="false" customHeight="true" outlineLevel="0" collapsed="false">
      <c r="A4" s="13" t="s">
        <v>133</v>
      </c>
      <c r="B4" s="13" t="s">
        <v>57</v>
      </c>
      <c r="C4" s="13" t="s">
        <v>134</v>
      </c>
      <c r="D4" s="13" t="s">
        <v>135</v>
      </c>
      <c r="E4" s="43"/>
      <c r="F4" s="13" t="s">
        <v>135</v>
      </c>
      <c r="G4" s="13" t="s">
        <v>136</v>
      </c>
      <c r="H4" s="13" t="s">
        <v>137</v>
      </c>
      <c r="I4" s="43"/>
    </row>
    <row r="5" customFormat="false" ht="15" hidden="false" customHeight="true" outlineLevel="0" collapsed="false">
      <c r="A5" s="26" t="s">
        <v>128</v>
      </c>
      <c r="B5" s="26" t="s">
        <v>138</v>
      </c>
      <c r="C5" s="26" t="s">
        <v>139</v>
      </c>
      <c r="D5" s="26" t="s">
        <v>140</v>
      </c>
      <c r="E5" s="44"/>
      <c r="F5" s="45" t="s">
        <v>141</v>
      </c>
      <c r="G5" s="46" t="n">
        <f aca="false">COUNTIF($D$6:$D$205,$F5)</f>
        <v>0</v>
      </c>
      <c r="H5" s="47" t="str">
        <f aca="false">IF($G$12=0,"",$G5/$G$12)</f>
        <v/>
      </c>
      <c r="I5" s="44"/>
    </row>
    <row r="6" customFormat="false" ht="15" hidden="false" customHeight="true" outlineLevel="0" collapsed="false">
      <c r="A6" s="24"/>
      <c r="B6" s="24"/>
      <c r="C6" s="25"/>
      <c r="D6" s="24"/>
      <c r="F6" s="45" t="s">
        <v>142</v>
      </c>
      <c r="G6" s="46" t="n">
        <f aca="false">COUNTIF($D$6:$D$205,$F6)</f>
        <v>0</v>
      </c>
      <c r="H6" s="47" t="str">
        <f aca="false">IF($G$12=0,"",$G6/$G$12)</f>
        <v/>
      </c>
    </row>
    <row r="7" customFormat="false" ht="15" hidden="false" customHeight="true" outlineLevel="0" collapsed="false">
      <c r="A7" s="24"/>
      <c r="B7" s="24"/>
      <c r="C7" s="25"/>
      <c r="D7" s="24"/>
      <c r="F7" s="45" t="s">
        <v>140</v>
      </c>
      <c r="G7" s="46" t="n">
        <f aca="false">COUNTIF($D$6:$D$205,$F7)</f>
        <v>0</v>
      </c>
      <c r="H7" s="47" t="str">
        <f aca="false">IF($G$12=0,"",$G7/$G$12)</f>
        <v/>
      </c>
    </row>
    <row r="8" customFormat="false" ht="15" hidden="false" customHeight="true" outlineLevel="0" collapsed="false">
      <c r="A8" s="24"/>
      <c r="B8" s="24"/>
      <c r="C8" s="25"/>
      <c r="D8" s="24"/>
      <c r="F8" s="45" t="s">
        <v>143</v>
      </c>
      <c r="G8" s="46" t="n">
        <f aca="false">COUNTIF($D$6:$D$205,$F8)</f>
        <v>0</v>
      </c>
      <c r="H8" s="47" t="str">
        <f aca="false">IF($G$12=0,"",$G8/$G$12)</f>
        <v/>
      </c>
    </row>
    <row r="9" customFormat="false" ht="15" hidden="false" customHeight="true" outlineLevel="0" collapsed="false">
      <c r="A9" s="24"/>
      <c r="B9" s="24"/>
      <c r="C9" s="25"/>
      <c r="D9" s="24"/>
      <c r="F9" s="45" t="s">
        <v>144</v>
      </c>
      <c r="G9" s="46" t="n">
        <f aca="false">COUNTIF($D$6:$D$205,$F9)</f>
        <v>0</v>
      </c>
      <c r="H9" s="47" t="str">
        <f aca="false">IF($G$12=0,"",$G9/$G$12)</f>
        <v/>
      </c>
    </row>
    <row r="10" customFormat="false" ht="15" hidden="false" customHeight="true" outlineLevel="0" collapsed="false">
      <c r="A10" s="24"/>
      <c r="B10" s="24"/>
      <c r="C10" s="25"/>
      <c r="D10" s="24"/>
      <c r="F10" s="45" t="s">
        <v>145</v>
      </c>
      <c r="G10" s="46" t="n">
        <f aca="false">COUNTIF($D$6:$D$205,$F10)</f>
        <v>0</v>
      </c>
      <c r="H10" s="47" t="str">
        <f aca="false">IF($G$12=0,"",$G10/$G$12)</f>
        <v/>
      </c>
    </row>
    <row r="11" customFormat="false" ht="15" hidden="false" customHeight="true" outlineLevel="0" collapsed="false">
      <c r="A11" s="24"/>
      <c r="B11" s="24"/>
      <c r="C11" s="25"/>
      <c r="D11" s="24"/>
      <c r="F11" s="45" t="s">
        <v>146</v>
      </c>
      <c r="G11" s="46" t="n">
        <f aca="false">COUNTIF($D$6:$D$205,$F11)</f>
        <v>0</v>
      </c>
      <c r="H11" s="47" t="str">
        <f aca="false">IF($G$12=0,"",$G11/$G$12)</f>
        <v/>
      </c>
    </row>
    <row r="12" customFormat="false" ht="15" hidden="false" customHeight="true" outlineLevel="0" collapsed="false">
      <c r="A12" s="24"/>
      <c r="B12" s="24"/>
      <c r="C12" s="25"/>
      <c r="D12" s="24"/>
      <c r="F12" s="6" t="s">
        <v>147</v>
      </c>
      <c r="G12" s="36" t="n">
        <f aca="false">SUM($G$5:$G$11)</f>
        <v>0</v>
      </c>
      <c r="H12" s="37" t="str">
        <f aca="false">IF($G$12=0,"",1)</f>
        <v/>
      </c>
    </row>
    <row r="13" customFormat="false" ht="15" hidden="false" customHeight="true" outlineLevel="0" collapsed="false">
      <c r="A13" s="24"/>
      <c r="B13" s="24"/>
      <c r="C13" s="25"/>
      <c r="D13" s="24"/>
    </row>
    <row r="14" customFormat="false" ht="15" hidden="false" customHeight="true" outlineLevel="0" collapsed="false">
      <c r="A14" s="24"/>
      <c r="B14" s="24"/>
      <c r="C14" s="25"/>
      <c r="D14" s="24"/>
      <c r="F14" s="48" t="s">
        <v>148</v>
      </c>
      <c r="G14" s="49" t="n">
        <f aca="false">$G$7+$G$8+$G$9+$G$10+$G$11</f>
        <v>0</v>
      </c>
      <c r="H14" s="15" t="str">
        <f aca="false">IF($G$12=0,"",$G$14/$G$12)</f>
        <v/>
      </c>
    </row>
    <row r="15" customFormat="false" ht="15" hidden="false" customHeight="true" outlineLevel="0" collapsed="false">
      <c r="A15" s="24"/>
      <c r="B15" s="24"/>
      <c r="C15" s="25"/>
      <c r="D15" s="24"/>
    </row>
    <row r="16" customFormat="false" ht="15" hidden="false" customHeight="true" outlineLevel="0" collapsed="false">
      <c r="A16" s="24"/>
      <c r="B16" s="24"/>
      <c r="C16" s="25"/>
      <c r="D16" s="24"/>
      <c r="F16" s="10" t="s">
        <v>149</v>
      </c>
      <c r="G16" s="10"/>
      <c r="H16" s="10"/>
    </row>
    <row r="17" customFormat="false" ht="15" hidden="false" customHeight="true" outlineLevel="0" collapsed="false">
      <c r="A17" s="24"/>
      <c r="B17" s="24"/>
      <c r="C17" s="25"/>
      <c r="D17" s="24"/>
      <c r="F17" s="10"/>
      <c r="G17" s="10"/>
      <c r="H17" s="10"/>
    </row>
    <row r="18" customFormat="false" ht="15" hidden="false" customHeight="true" outlineLevel="0" collapsed="false">
      <c r="A18" s="24"/>
      <c r="B18" s="24"/>
      <c r="C18" s="25"/>
      <c r="D18" s="24"/>
      <c r="F18" s="10"/>
      <c r="G18" s="10"/>
      <c r="H18" s="10"/>
    </row>
    <row r="19" customFormat="false" ht="15" hidden="false" customHeight="true" outlineLevel="0" collapsed="false">
      <c r="A19" s="24"/>
      <c r="B19" s="24"/>
      <c r="C19" s="25"/>
      <c r="D19" s="24"/>
      <c r="F19" s="10"/>
      <c r="G19" s="10"/>
      <c r="H19" s="10"/>
    </row>
    <row r="20" customFormat="false" ht="15" hidden="false" customHeight="true" outlineLevel="0" collapsed="false">
      <c r="A20" s="24"/>
      <c r="B20" s="24"/>
      <c r="C20" s="25"/>
      <c r="D20" s="24"/>
      <c r="F20" s="10"/>
      <c r="G20" s="10"/>
      <c r="H20" s="10"/>
    </row>
    <row r="21" customFormat="false" ht="15" hidden="false" customHeight="true" outlineLevel="0" collapsed="false">
      <c r="A21" s="24"/>
      <c r="B21" s="24"/>
      <c r="C21" s="25"/>
      <c r="D21" s="24"/>
    </row>
    <row r="22" customFormat="false" ht="15" hidden="false" customHeight="true" outlineLevel="0" collapsed="false">
      <c r="A22" s="24"/>
      <c r="B22" s="24"/>
      <c r="C22" s="25"/>
      <c r="D22" s="24"/>
    </row>
    <row r="23" customFormat="false" ht="15" hidden="false" customHeight="true" outlineLevel="0" collapsed="false">
      <c r="A23" s="24"/>
      <c r="B23" s="24"/>
      <c r="C23" s="25"/>
      <c r="D23" s="24"/>
    </row>
    <row r="24" customFormat="false" ht="15" hidden="false" customHeight="true" outlineLevel="0" collapsed="false">
      <c r="A24" s="24"/>
      <c r="B24" s="24"/>
      <c r="C24" s="25"/>
      <c r="D24" s="24"/>
    </row>
    <row r="25" customFormat="false" ht="15" hidden="false" customHeight="true" outlineLevel="0" collapsed="false">
      <c r="A25" s="24"/>
      <c r="B25" s="24"/>
      <c r="C25" s="25"/>
      <c r="D25" s="24"/>
    </row>
    <row r="26" customFormat="false" ht="15" hidden="false" customHeight="true" outlineLevel="0" collapsed="false">
      <c r="A26" s="24"/>
      <c r="B26" s="24"/>
      <c r="C26" s="25"/>
      <c r="D26" s="24"/>
    </row>
    <row r="27" customFormat="false" ht="15" hidden="false" customHeight="true" outlineLevel="0" collapsed="false">
      <c r="A27" s="24"/>
      <c r="B27" s="24"/>
      <c r="C27" s="25"/>
      <c r="D27" s="24"/>
    </row>
    <row r="28" customFormat="false" ht="15" hidden="false" customHeight="true" outlineLevel="0" collapsed="false">
      <c r="A28" s="24"/>
      <c r="B28" s="24"/>
      <c r="C28" s="25"/>
      <c r="D28" s="24"/>
    </row>
    <row r="29" customFormat="false" ht="15" hidden="false" customHeight="true" outlineLevel="0" collapsed="false">
      <c r="A29" s="24"/>
      <c r="B29" s="24"/>
      <c r="C29" s="25"/>
      <c r="D29" s="24"/>
    </row>
    <row r="30" customFormat="false" ht="15" hidden="false" customHeight="true" outlineLevel="0" collapsed="false">
      <c r="A30" s="24"/>
      <c r="B30" s="24"/>
      <c r="C30" s="25"/>
      <c r="D30" s="24"/>
    </row>
    <row r="31" customFormat="false" ht="15" hidden="false" customHeight="true" outlineLevel="0" collapsed="false">
      <c r="A31" s="24"/>
      <c r="B31" s="24"/>
      <c r="C31" s="25"/>
      <c r="D31" s="24"/>
    </row>
    <row r="32" customFormat="false" ht="15" hidden="false" customHeight="true" outlineLevel="0" collapsed="false">
      <c r="A32" s="24"/>
      <c r="B32" s="24"/>
      <c r="C32" s="25"/>
      <c r="D32" s="24"/>
    </row>
    <row r="33" customFormat="false" ht="15" hidden="false" customHeight="true" outlineLevel="0" collapsed="false">
      <c r="A33" s="24"/>
      <c r="B33" s="24"/>
      <c r="C33" s="25"/>
      <c r="D33" s="24"/>
    </row>
    <row r="34" customFormat="false" ht="15" hidden="false" customHeight="true" outlineLevel="0" collapsed="false">
      <c r="A34" s="24"/>
      <c r="B34" s="24"/>
      <c r="C34" s="25"/>
      <c r="D34" s="24"/>
    </row>
    <row r="35" customFormat="false" ht="15" hidden="false" customHeight="true" outlineLevel="0" collapsed="false">
      <c r="A35" s="24"/>
      <c r="B35" s="24"/>
      <c r="C35" s="25"/>
      <c r="D35" s="24"/>
    </row>
    <row r="36" customFormat="false" ht="15" hidden="false" customHeight="true" outlineLevel="0" collapsed="false">
      <c r="A36" s="24"/>
      <c r="B36" s="24"/>
      <c r="C36" s="25"/>
      <c r="D36" s="24"/>
    </row>
    <row r="37" customFormat="false" ht="15" hidden="false" customHeight="true" outlineLevel="0" collapsed="false">
      <c r="A37" s="24"/>
      <c r="B37" s="24"/>
      <c r="C37" s="25"/>
      <c r="D37" s="24"/>
    </row>
    <row r="38" customFormat="false" ht="15" hidden="false" customHeight="true" outlineLevel="0" collapsed="false">
      <c r="A38" s="24"/>
      <c r="B38" s="24"/>
      <c r="C38" s="25"/>
      <c r="D38" s="24"/>
    </row>
    <row r="39" customFormat="false" ht="15" hidden="false" customHeight="true" outlineLevel="0" collapsed="false">
      <c r="A39" s="24"/>
      <c r="B39" s="24"/>
      <c r="C39" s="25"/>
      <c r="D39" s="24"/>
    </row>
    <row r="40" customFormat="false" ht="15" hidden="false" customHeight="true" outlineLevel="0" collapsed="false">
      <c r="A40" s="24"/>
      <c r="B40" s="24"/>
      <c r="C40" s="25"/>
      <c r="D40" s="24"/>
    </row>
    <row r="41" customFormat="false" ht="15" hidden="false" customHeight="true" outlineLevel="0" collapsed="false">
      <c r="A41" s="24"/>
      <c r="B41" s="24"/>
      <c r="C41" s="25"/>
      <c r="D41" s="24"/>
    </row>
    <row r="42" customFormat="false" ht="15" hidden="false" customHeight="true" outlineLevel="0" collapsed="false">
      <c r="A42" s="24"/>
      <c r="B42" s="24"/>
      <c r="C42" s="25"/>
      <c r="D42" s="24"/>
    </row>
    <row r="43" customFormat="false" ht="15" hidden="false" customHeight="true" outlineLevel="0" collapsed="false">
      <c r="A43" s="24"/>
      <c r="B43" s="24"/>
      <c r="C43" s="25"/>
      <c r="D43" s="24"/>
    </row>
    <row r="44" customFormat="false" ht="15" hidden="false" customHeight="true" outlineLevel="0" collapsed="false">
      <c r="A44" s="24"/>
      <c r="B44" s="24"/>
      <c r="C44" s="25"/>
      <c r="D44" s="24"/>
    </row>
    <row r="45" customFormat="false" ht="15" hidden="false" customHeight="true" outlineLevel="0" collapsed="false">
      <c r="A45" s="24"/>
      <c r="B45" s="24"/>
      <c r="C45" s="25"/>
      <c r="D45" s="24"/>
    </row>
    <row r="46" customFormat="false" ht="15" hidden="false" customHeight="true" outlineLevel="0" collapsed="false">
      <c r="A46" s="24"/>
      <c r="B46" s="24"/>
      <c r="C46" s="25"/>
      <c r="D46" s="24"/>
    </row>
    <row r="47" customFormat="false" ht="15" hidden="false" customHeight="true" outlineLevel="0" collapsed="false">
      <c r="A47" s="24"/>
      <c r="B47" s="24"/>
      <c r="C47" s="25"/>
      <c r="D47" s="24"/>
    </row>
    <row r="48" customFormat="false" ht="15" hidden="false" customHeight="true" outlineLevel="0" collapsed="false">
      <c r="A48" s="24"/>
      <c r="B48" s="24"/>
      <c r="C48" s="25"/>
      <c r="D48" s="24"/>
    </row>
    <row r="49" customFormat="false" ht="15" hidden="false" customHeight="true" outlineLevel="0" collapsed="false">
      <c r="A49" s="24"/>
      <c r="B49" s="24"/>
      <c r="C49" s="25"/>
      <c r="D49" s="24"/>
    </row>
    <row r="50" customFormat="false" ht="15" hidden="false" customHeight="true" outlineLevel="0" collapsed="false">
      <c r="A50" s="24"/>
      <c r="B50" s="24"/>
      <c r="C50" s="25"/>
      <c r="D50" s="24"/>
    </row>
    <row r="51" customFormat="false" ht="15" hidden="false" customHeight="true" outlineLevel="0" collapsed="false">
      <c r="A51" s="24"/>
      <c r="B51" s="24"/>
      <c r="C51" s="25"/>
      <c r="D51" s="24"/>
    </row>
    <row r="52" customFormat="false" ht="15" hidden="false" customHeight="true" outlineLevel="0" collapsed="false">
      <c r="A52" s="24"/>
      <c r="B52" s="24"/>
      <c r="C52" s="25"/>
      <c r="D52" s="24"/>
    </row>
    <row r="53" customFormat="false" ht="15" hidden="false" customHeight="true" outlineLevel="0" collapsed="false">
      <c r="A53" s="24"/>
      <c r="B53" s="24"/>
      <c r="C53" s="25"/>
      <c r="D53" s="24"/>
    </row>
    <row r="54" customFormat="false" ht="15" hidden="false" customHeight="true" outlineLevel="0" collapsed="false">
      <c r="A54" s="24"/>
      <c r="B54" s="24"/>
      <c r="C54" s="25"/>
      <c r="D54" s="24"/>
    </row>
    <row r="55" customFormat="false" ht="15" hidden="false" customHeight="true" outlineLevel="0" collapsed="false">
      <c r="A55" s="24"/>
      <c r="B55" s="24"/>
      <c r="C55" s="25"/>
      <c r="D55" s="24"/>
    </row>
    <row r="56" customFormat="false" ht="15" hidden="false" customHeight="true" outlineLevel="0" collapsed="false">
      <c r="A56" s="24"/>
      <c r="B56" s="24"/>
      <c r="C56" s="25"/>
      <c r="D56" s="24"/>
    </row>
    <row r="57" customFormat="false" ht="15" hidden="false" customHeight="true" outlineLevel="0" collapsed="false">
      <c r="A57" s="24"/>
      <c r="B57" s="24"/>
      <c r="C57" s="25"/>
      <c r="D57" s="24"/>
    </row>
    <row r="58" customFormat="false" ht="15" hidden="false" customHeight="true" outlineLevel="0" collapsed="false">
      <c r="A58" s="24"/>
      <c r="B58" s="24"/>
      <c r="C58" s="25"/>
      <c r="D58" s="24"/>
    </row>
    <row r="59" customFormat="false" ht="15" hidden="false" customHeight="true" outlineLevel="0" collapsed="false">
      <c r="A59" s="24"/>
      <c r="B59" s="24"/>
      <c r="C59" s="25"/>
      <c r="D59" s="24"/>
    </row>
    <row r="60" customFormat="false" ht="15" hidden="false" customHeight="true" outlineLevel="0" collapsed="false">
      <c r="A60" s="24"/>
      <c r="B60" s="24"/>
      <c r="C60" s="25"/>
      <c r="D60" s="24"/>
    </row>
    <row r="61" customFormat="false" ht="15" hidden="false" customHeight="true" outlineLevel="0" collapsed="false">
      <c r="A61" s="24"/>
      <c r="B61" s="24"/>
      <c r="C61" s="25"/>
      <c r="D61" s="24"/>
    </row>
    <row r="62" customFormat="false" ht="15" hidden="false" customHeight="true" outlineLevel="0" collapsed="false">
      <c r="A62" s="24"/>
      <c r="B62" s="24"/>
      <c r="C62" s="25"/>
      <c r="D62" s="24"/>
    </row>
    <row r="63" customFormat="false" ht="15" hidden="false" customHeight="true" outlineLevel="0" collapsed="false">
      <c r="A63" s="24"/>
      <c r="B63" s="24"/>
      <c r="C63" s="25"/>
      <c r="D63" s="24"/>
    </row>
    <row r="64" customFormat="false" ht="15" hidden="false" customHeight="true" outlineLevel="0" collapsed="false">
      <c r="A64" s="24"/>
      <c r="B64" s="24"/>
      <c r="C64" s="25"/>
      <c r="D64" s="24"/>
    </row>
    <row r="65" customFormat="false" ht="15" hidden="false" customHeight="true" outlineLevel="0" collapsed="false">
      <c r="A65" s="24"/>
      <c r="B65" s="24"/>
      <c r="C65" s="25"/>
      <c r="D65" s="24"/>
    </row>
    <row r="66" customFormat="false" ht="15" hidden="false" customHeight="true" outlineLevel="0" collapsed="false">
      <c r="A66" s="24"/>
      <c r="B66" s="24"/>
      <c r="C66" s="25"/>
      <c r="D66" s="24"/>
    </row>
    <row r="67" customFormat="false" ht="15" hidden="false" customHeight="true" outlineLevel="0" collapsed="false">
      <c r="A67" s="24"/>
      <c r="B67" s="24"/>
      <c r="C67" s="25"/>
      <c r="D67" s="24"/>
    </row>
    <row r="68" customFormat="false" ht="15" hidden="false" customHeight="true" outlineLevel="0" collapsed="false">
      <c r="A68" s="24"/>
      <c r="B68" s="24"/>
      <c r="C68" s="25"/>
      <c r="D68" s="24"/>
    </row>
    <row r="69" customFormat="false" ht="15" hidden="false" customHeight="true" outlineLevel="0" collapsed="false">
      <c r="A69" s="24"/>
      <c r="B69" s="24"/>
      <c r="C69" s="25"/>
      <c r="D69" s="24"/>
    </row>
    <row r="70" customFormat="false" ht="15" hidden="false" customHeight="true" outlineLevel="0" collapsed="false">
      <c r="A70" s="24"/>
      <c r="B70" s="24"/>
      <c r="C70" s="25"/>
      <c r="D70" s="24"/>
    </row>
    <row r="71" customFormat="false" ht="15" hidden="false" customHeight="true" outlineLevel="0" collapsed="false">
      <c r="A71" s="24"/>
      <c r="B71" s="24"/>
      <c r="C71" s="25"/>
      <c r="D71" s="24"/>
    </row>
    <row r="72" customFormat="false" ht="15" hidden="false" customHeight="true" outlineLevel="0" collapsed="false">
      <c r="A72" s="24"/>
      <c r="B72" s="24"/>
      <c r="C72" s="25"/>
      <c r="D72" s="24"/>
    </row>
    <row r="73" customFormat="false" ht="15" hidden="false" customHeight="true" outlineLevel="0" collapsed="false">
      <c r="A73" s="24"/>
      <c r="B73" s="24"/>
      <c r="C73" s="25"/>
      <c r="D73" s="24"/>
    </row>
    <row r="74" customFormat="false" ht="15" hidden="false" customHeight="true" outlineLevel="0" collapsed="false">
      <c r="A74" s="24"/>
      <c r="B74" s="24"/>
      <c r="C74" s="25"/>
      <c r="D74" s="24"/>
    </row>
    <row r="75" customFormat="false" ht="15" hidden="false" customHeight="true" outlineLevel="0" collapsed="false">
      <c r="A75" s="24"/>
      <c r="B75" s="24"/>
      <c r="C75" s="25"/>
      <c r="D75" s="24"/>
    </row>
    <row r="76" customFormat="false" ht="15" hidden="false" customHeight="true" outlineLevel="0" collapsed="false">
      <c r="A76" s="24"/>
      <c r="B76" s="24"/>
      <c r="C76" s="25"/>
      <c r="D76" s="24"/>
    </row>
    <row r="77" customFormat="false" ht="15" hidden="false" customHeight="true" outlineLevel="0" collapsed="false">
      <c r="A77" s="24"/>
      <c r="B77" s="24"/>
      <c r="C77" s="25"/>
      <c r="D77" s="24"/>
    </row>
    <row r="78" customFormat="false" ht="15" hidden="false" customHeight="true" outlineLevel="0" collapsed="false">
      <c r="A78" s="24"/>
      <c r="B78" s="24"/>
      <c r="C78" s="25"/>
      <c r="D78" s="24"/>
    </row>
    <row r="79" customFormat="false" ht="15" hidden="false" customHeight="true" outlineLevel="0" collapsed="false">
      <c r="A79" s="24"/>
      <c r="B79" s="24"/>
      <c r="C79" s="25"/>
      <c r="D79" s="24"/>
    </row>
    <row r="80" customFormat="false" ht="15" hidden="false" customHeight="true" outlineLevel="0" collapsed="false">
      <c r="A80" s="24"/>
      <c r="B80" s="24"/>
      <c r="C80" s="25"/>
      <c r="D80" s="24"/>
    </row>
    <row r="81" customFormat="false" ht="15" hidden="false" customHeight="true" outlineLevel="0" collapsed="false">
      <c r="A81" s="24"/>
      <c r="B81" s="24"/>
      <c r="C81" s="25"/>
      <c r="D81" s="24"/>
    </row>
    <row r="82" customFormat="false" ht="15" hidden="false" customHeight="true" outlineLevel="0" collapsed="false">
      <c r="A82" s="24"/>
      <c r="B82" s="24"/>
      <c r="C82" s="25"/>
      <c r="D82" s="24"/>
    </row>
    <row r="83" customFormat="false" ht="15" hidden="false" customHeight="true" outlineLevel="0" collapsed="false">
      <c r="A83" s="24"/>
      <c r="B83" s="24"/>
      <c r="C83" s="25"/>
      <c r="D83" s="24"/>
    </row>
    <row r="84" customFormat="false" ht="15" hidden="false" customHeight="true" outlineLevel="0" collapsed="false">
      <c r="A84" s="24"/>
      <c r="B84" s="24"/>
      <c r="C84" s="25"/>
      <c r="D84" s="24"/>
    </row>
    <row r="85" customFormat="false" ht="15" hidden="false" customHeight="true" outlineLevel="0" collapsed="false">
      <c r="A85" s="24"/>
      <c r="B85" s="24"/>
      <c r="C85" s="25"/>
      <c r="D85" s="24"/>
    </row>
    <row r="86" customFormat="false" ht="15" hidden="false" customHeight="true" outlineLevel="0" collapsed="false">
      <c r="A86" s="24"/>
      <c r="B86" s="24"/>
      <c r="C86" s="25"/>
      <c r="D86" s="24"/>
    </row>
    <row r="87" customFormat="false" ht="15" hidden="false" customHeight="true" outlineLevel="0" collapsed="false">
      <c r="A87" s="24"/>
      <c r="B87" s="24"/>
      <c r="C87" s="25"/>
      <c r="D87" s="24"/>
    </row>
    <row r="88" customFormat="false" ht="15" hidden="false" customHeight="true" outlineLevel="0" collapsed="false">
      <c r="A88" s="24"/>
      <c r="B88" s="24"/>
      <c r="C88" s="25"/>
      <c r="D88" s="24"/>
    </row>
    <row r="89" customFormat="false" ht="15" hidden="false" customHeight="true" outlineLevel="0" collapsed="false">
      <c r="A89" s="24"/>
      <c r="B89" s="24"/>
      <c r="C89" s="25"/>
      <c r="D89" s="24"/>
    </row>
    <row r="90" customFormat="false" ht="15" hidden="false" customHeight="true" outlineLevel="0" collapsed="false">
      <c r="A90" s="24"/>
      <c r="B90" s="24"/>
      <c r="C90" s="25"/>
      <c r="D90" s="24"/>
    </row>
    <row r="91" customFormat="false" ht="15" hidden="false" customHeight="true" outlineLevel="0" collapsed="false">
      <c r="A91" s="24"/>
      <c r="B91" s="24"/>
      <c r="C91" s="25"/>
      <c r="D91" s="24"/>
    </row>
    <row r="92" customFormat="false" ht="15" hidden="false" customHeight="true" outlineLevel="0" collapsed="false">
      <c r="A92" s="24"/>
      <c r="B92" s="24"/>
      <c r="C92" s="25"/>
      <c r="D92" s="24"/>
    </row>
    <row r="93" customFormat="false" ht="15" hidden="false" customHeight="true" outlineLevel="0" collapsed="false">
      <c r="A93" s="24"/>
      <c r="B93" s="24"/>
      <c r="C93" s="25"/>
      <c r="D93" s="24"/>
    </row>
    <row r="94" customFormat="false" ht="15" hidden="false" customHeight="true" outlineLevel="0" collapsed="false">
      <c r="A94" s="24"/>
      <c r="B94" s="24"/>
      <c r="C94" s="25"/>
      <c r="D94" s="24"/>
    </row>
    <row r="95" customFormat="false" ht="15" hidden="false" customHeight="true" outlineLevel="0" collapsed="false">
      <c r="A95" s="24"/>
      <c r="B95" s="24"/>
      <c r="C95" s="25"/>
      <c r="D95" s="24"/>
    </row>
    <row r="96" customFormat="false" ht="15" hidden="false" customHeight="true" outlineLevel="0" collapsed="false">
      <c r="A96" s="24"/>
      <c r="B96" s="24"/>
      <c r="C96" s="25"/>
      <c r="D96" s="24"/>
    </row>
    <row r="97" customFormat="false" ht="15" hidden="false" customHeight="true" outlineLevel="0" collapsed="false">
      <c r="A97" s="24"/>
      <c r="B97" s="24"/>
      <c r="C97" s="25"/>
      <c r="D97" s="24"/>
    </row>
    <row r="98" customFormat="false" ht="15" hidden="false" customHeight="true" outlineLevel="0" collapsed="false">
      <c r="A98" s="24"/>
      <c r="B98" s="24"/>
      <c r="C98" s="25"/>
      <c r="D98" s="24"/>
    </row>
    <row r="99" customFormat="false" ht="15" hidden="false" customHeight="true" outlineLevel="0" collapsed="false">
      <c r="A99" s="24"/>
      <c r="B99" s="24"/>
      <c r="C99" s="25"/>
      <c r="D99" s="24"/>
    </row>
    <row r="100" customFormat="false" ht="15" hidden="false" customHeight="true" outlineLevel="0" collapsed="false">
      <c r="A100" s="24"/>
      <c r="B100" s="24"/>
      <c r="C100" s="25"/>
      <c r="D100" s="24"/>
    </row>
    <row r="101" customFormat="false" ht="15" hidden="false" customHeight="true" outlineLevel="0" collapsed="false">
      <c r="A101" s="24"/>
      <c r="B101" s="24"/>
      <c r="C101" s="25"/>
      <c r="D101" s="24"/>
    </row>
    <row r="102" customFormat="false" ht="15" hidden="false" customHeight="true" outlineLevel="0" collapsed="false">
      <c r="A102" s="24"/>
      <c r="B102" s="24"/>
      <c r="C102" s="25"/>
      <c r="D102" s="24"/>
    </row>
    <row r="103" customFormat="false" ht="15" hidden="false" customHeight="true" outlineLevel="0" collapsed="false">
      <c r="A103" s="24"/>
      <c r="B103" s="24"/>
      <c r="C103" s="25"/>
      <c r="D103" s="24"/>
    </row>
    <row r="104" customFormat="false" ht="15" hidden="false" customHeight="true" outlineLevel="0" collapsed="false">
      <c r="A104" s="24"/>
      <c r="B104" s="24"/>
      <c r="C104" s="25"/>
      <c r="D104" s="24"/>
    </row>
    <row r="105" customFormat="false" ht="15" hidden="false" customHeight="true" outlineLevel="0" collapsed="false">
      <c r="A105" s="24"/>
      <c r="B105" s="24"/>
      <c r="C105" s="25"/>
      <c r="D105" s="24"/>
    </row>
    <row r="106" customFormat="false" ht="15" hidden="false" customHeight="true" outlineLevel="0" collapsed="false">
      <c r="A106" s="24"/>
      <c r="B106" s="24"/>
      <c r="C106" s="25"/>
      <c r="D106" s="24"/>
    </row>
    <row r="107" customFormat="false" ht="15" hidden="false" customHeight="true" outlineLevel="0" collapsed="false">
      <c r="A107" s="24"/>
      <c r="B107" s="24"/>
      <c r="C107" s="25"/>
      <c r="D107" s="24"/>
    </row>
    <row r="108" customFormat="false" ht="15" hidden="false" customHeight="true" outlineLevel="0" collapsed="false">
      <c r="A108" s="24"/>
      <c r="B108" s="24"/>
      <c r="C108" s="25"/>
      <c r="D108" s="24"/>
    </row>
    <row r="109" customFormat="false" ht="15" hidden="false" customHeight="true" outlineLevel="0" collapsed="false">
      <c r="A109" s="24"/>
      <c r="B109" s="24"/>
      <c r="C109" s="25"/>
      <c r="D109" s="24"/>
    </row>
    <row r="110" customFormat="false" ht="15" hidden="false" customHeight="true" outlineLevel="0" collapsed="false">
      <c r="A110" s="24"/>
      <c r="B110" s="24"/>
      <c r="C110" s="25"/>
      <c r="D110" s="24"/>
    </row>
    <row r="111" customFormat="false" ht="15" hidden="false" customHeight="true" outlineLevel="0" collapsed="false">
      <c r="A111" s="24"/>
      <c r="B111" s="24"/>
      <c r="C111" s="25"/>
      <c r="D111" s="24"/>
    </row>
    <row r="112" customFormat="false" ht="15" hidden="false" customHeight="true" outlineLevel="0" collapsed="false">
      <c r="A112" s="24"/>
      <c r="B112" s="24"/>
      <c r="C112" s="25"/>
      <c r="D112" s="24"/>
    </row>
    <row r="113" customFormat="false" ht="15" hidden="false" customHeight="true" outlineLevel="0" collapsed="false">
      <c r="A113" s="24"/>
      <c r="B113" s="24"/>
      <c r="C113" s="25"/>
      <c r="D113" s="24"/>
    </row>
    <row r="114" customFormat="false" ht="15" hidden="false" customHeight="true" outlineLevel="0" collapsed="false">
      <c r="A114" s="24"/>
      <c r="B114" s="24"/>
      <c r="C114" s="25"/>
      <c r="D114" s="24"/>
    </row>
    <row r="115" customFormat="false" ht="15" hidden="false" customHeight="true" outlineLevel="0" collapsed="false">
      <c r="A115" s="24"/>
      <c r="B115" s="24"/>
      <c r="C115" s="25"/>
      <c r="D115" s="24"/>
    </row>
    <row r="116" customFormat="false" ht="15" hidden="false" customHeight="true" outlineLevel="0" collapsed="false">
      <c r="A116" s="24"/>
      <c r="B116" s="24"/>
      <c r="C116" s="25"/>
      <c r="D116" s="24"/>
    </row>
    <row r="117" customFormat="false" ht="15" hidden="false" customHeight="true" outlineLevel="0" collapsed="false">
      <c r="A117" s="24"/>
      <c r="B117" s="24"/>
      <c r="C117" s="25"/>
      <c r="D117" s="24"/>
    </row>
    <row r="118" customFormat="false" ht="15" hidden="false" customHeight="true" outlineLevel="0" collapsed="false">
      <c r="A118" s="24"/>
      <c r="B118" s="24"/>
      <c r="C118" s="25"/>
      <c r="D118" s="24"/>
    </row>
    <row r="119" customFormat="false" ht="15" hidden="false" customHeight="true" outlineLevel="0" collapsed="false">
      <c r="A119" s="24"/>
      <c r="B119" s="24"/>
      <c r="C119" s="25"/>
      <c r="D119" s="24"/>
    </row>
    <row r="120" customFormat="false" ht="15" hidden="false" customHeight="true" outlineLevel="0" collapsed="false">
      <c r="A120" s="24"/>
      <c r="B120" s="24"/>
      <c r="C120" s="25"/>
      <c r="D120" s="24"/>
    </row>
    <row r="121" customFormat="false" ht="15" hidden="false" customHeight="true" outlineLevel="0" collapsed="false">
      <c r="A121" s="24"/>
      <c r="B121" s="24"/>
      <c r="C121" s="25"/>
      <c r="D121" s="24"/>
    </row>
    <row r="122" customFormat="false" ht="15" hidden="false" customHeight="true" outlineLevel="0" collapsed="false">
      <c r="A122" s="24"/>
      <c r="B122" s="24"/>
      <c r="C122" s="25"/>
      <c r="D122" s="24"/>
    </row>
    <row r="123" customFormat="false" ht="15" hidden="false" customHeight="true" outlineLevel="0" collapsed="false">
      <c r="A123" s="24"/>
      <c r="B123" s="24"/>
      <c r="C123" s="25"/>
      <c r="D123" s="24"/>
    </row>
    <row r="124" customFormat="false" ht="15" hidden="false" customHeight="true" outlineLevel="0" collapsed="false">
      <c r="A124" s="24"/>
      <c r="B124" s="24"/>
      <c r="C124" s="25"/>
      <c r="D124" s="24"/>
    </row>
    <row r="125" customFormat="false" ht="15" hidden="false" customHeight="true" outlineLevel="0" collapsed="false">
      <c r="A125" s="24"/>
      <c r="B125" s="24"/>
      <c r="C125" s="25"/>
      <c r="D125" s="24"/>
    </row>
    <row r="126" customFormat="false" ht="15" hidden="false" customHeight="true" outlineLevel="0" collapsed="false">
      <c r="A126" s="24"/>
      <c r="B126" s="24"/>
      <c r="C126" s="25"/>
      <c r="D126" s="24"/>
    </row>
    <row r="127" customFormat="false" ht="15" hidden="false" customHeight="true" outlineLevel="0" collapsed="false">
      <c r="A127" s="24"/>
      <c r="B127" s="24"/>
      <c r="C127" s="25"/>
      <c r="D127" s="24"/>
    </row>
    <row r="128" customFormat="false" ht="15" hidden="false" customHeight="true" outlineLevel="0" collapsed="false">
      <c r="A128" s="24"/>
      <c r="B128" s="24"/>
      <c r="C128" s="25"/>
      <c r="D128" s="24"/>
    </row>
    <row r="129" customFormat="false" ht="15" hidden="false" customHeight="true" outlineLevel="0" collapsed="false">
      <c r="A129" s="24"/>
      <c r="B129" s="24"/>
      <c r="C129" s="25"/>
      <c r="D129" s="24"/>
    </row>
    <row r="130" customFormat="false" ht="15" hidden="false" customHeight="true" outlineLevel="0" collapsed="false">
      <c r="A130" s="24"/>
      <c r="B130" s="24"/>
      <c r="C130" s="25"/>
      <c r="D130" s="24"/>
    </row>
    <row r="131" customFormat="false" ht="15" hidden="false" customHeight="true" outlineLevel="0" collapsed="false">
      <c r="A131" s="24"/>
      <c r="B131" s="24"/>
      <c r="C131" s="25"/>
      <c r="D131" s="24"/>
    </row>
    <row r="132" customFormat="false" ht="15" hidden="false" customHeight="true" outlineLevel="0" collapsed="false">
      <c r="A132" s="24"/>
      <c r="B132" s="24"/>
      <c r="C132" s="25"/>
      <c r="D132" s="24"/>
    </row>
    <row r="133" customFormat="false" ht="15" hidden="false" customHeight="true" outlineLevel="0" collapsed="false">
      <c r="A133" s="24"/>
      <c r="B133" s="24"/>
      <c r="C133" s="25"/>
      <c r="D133" s="24"/>
    </row>
    <row r="134" customFormat="false" ht="15" hidden="false" customHeight="true" outlineLevel="0" collapsed="false">
      <c r="A134" s="24"/>
      <c r="B134" s="24"/>
      <c r="C134" s="25"/>
      <c r="D134" s="24"/>
    </row>
    <row r="135" customFormat="false" ht="15" hidden="false" customHeight="true" outlineLevel="0" collapsed="false">
      <c r="A135" s="24"/>
      <c r="B135" s="24"/>
      <c r="C135" s="25"/>
      <c r="D135" s="24"/>
    </row>
    <row r="136" customFormat="false" ht="15" hidden="false" customHeight="true" outlineLevel="0" collapsed="false">
      <c r="A136" s="24"/>
      <c r="B136" s="24"/>
      <c r="C136" s="25"/>
      <c r="D136" s="24"/>
    </row>
    <row r="137" customFormat="false" ht="15" hidden="false" customHeight="true" outlineLevel="0" collapsed="false">
      <c r="A137" s="24"/>
      <c r="B137" s="24"/>
      <c r="C137" s="25"/>
      <c r="D137" s="24"/>
    </row>
    <row r="138" customFormat="false" ht="15" hidden="false" customHeight="true" outlineLevel="0" collapsed="false">
      <c r="A138" s="24"/>
      <c r="B138" s="24"/>
      <c r="C138" s="25"/>
      <c r="D138" s="24"/>
    </row>
    <row r="139" customFormat="false" ht="15" hidden="false" customHeight="true" outlineLevel="0" collapsed="false">
      <c r="A139" s="24"/>
      <c r="B139" s="24"/>
      <c r="C139" s="25"/>
      <c r="D139" s="24"/>
    </row>
    <row r="140" customFormat="false" ht="15" hidden="false" customHeight="true" outlineLevel="0" collapsed="false">
      <c r="A140" s="24"/>
      <c r="B140" s="24"/>
      <c r="C140" s="25"/>
      <c r="D140" s="24"/>
    </row>
    <row r="141" customFormat="false" ht="15" hidden="false" customHeight="true" outlineLevel="0" collapsed="false">
      <c r="A141" s="24"/>
      <c r="B141" s="24"/>
      <c r="C141" s="25"/>
      <c r="D141" s="24"/>
    </row>
    <row r="142" customFormat="false" ht="15" hidden="false" customHeight="true" outlineLevel="0" collapsed="false">
      <c r="A142" s="24"/>
      <c r="B142" s="24"/>
      <c r="C142" s="25"/>
      <c r="D142" s="24"/>
    </row>
    <row r="143" customFormat="false" ht="15" hidden="false" customHeight="true" outlineLevel="0" collapsed="false">
      <c r="A143" s="24"/>
      <c r="B143" s="24"/>
      <c r="C143" s="25"/>
      <c r="D143" s="24"/>
    </row>
    <row r="144" customFormat="false" ht="15" hidden="false" customHeight="true" outlineLevel="0" collapsed="false">
      <c r="A144" s="24"/>
      <c r="B144" s="24"/>
      <c r="C144" s="25"/>
      <c r="D144" s="24"/>
    </row>
    <row r="145" customFormat="false" ht="15" hidden="false" customHeight="true" outlineLevel="0" collapsed="false">
      <c r="A145" s="24"/>
      <c r="B145" s="24"/>
      <c r="C145" s="25"/>
      <c r="D145" s="24"/>
    </row>
    <row r="146" customFormat="false" ht="15" hidden="false" customHeight="true" outlineLevel="0" collapsed="false">
      <c r="A146" s="24"/>
      <c r="B146" s="24"/>
      <c r="C146" s="25"/>
      <c r="D146" s="24"/>
    </row>
    <row r="147" customFormat="false" ht="15" hidden="false" customHeight="true" outlineLevel="0" collapsed="false">
      <c r="A147" s="24"/>
      <c r="B147" s="24"/>
      <c r="C147" s="25"/>
      <c r="D147" s="24"/>
    </row>
    <row r="148" customFormat="false" ht="15" hidden="false" customHeight="true" outlineLevel="0" collapsed="false">
      <c r="A148" s="24"/>
      <c r="B148" s="24"/>
      <c r="C148" s="25"/>
      <c r="D148" s="24"/>
    </row>
    <row r="149" customFormat="false" ht="15" hidden="false" customHeight="true" outlineLevel="0" collapsed="false">
      <c r="A149" s="24"/>
      <c r="B149" s="24"/>
      <c r="C149" s="25"/>
      <c r="D149" s="24"/>
    </row>
    <row r="150" customFormat="false" ht="15" hidden="false" customHeight="true" outlineLevel="0" collapsed="false">
      <c r="A150" s="24"/>
      <c r="B150" s="24"/>
      <c r="C150" s="25"/>
      <c r="D150" s="24"/>
    </row>
    <row r="151" customFormat="false" ht="15" hidden="false" customHeight="true" outlineLevel="0" collapsed="false">
      <c r="A151" s="24"/>
      <c r="B151" s="24"/>
      <c r="C151" s="25"/>
      <c r="D151" s="24"/>
    </row>
    <row r="152" customFormat="false" ht="15" hidden="false" customHeight="true" outlineLevel="0" collapsed="false">
      <c r="A152" s="24"/>
      <c r="B152" s="24"/>
      <c r="C152" s="25"/>
      <c r="D152" s="24"/>
    </row>
    <row r="153" customFormat="false" ht="15" hidden="false" customHeight="true" outlineLevel="0" collapsed="false">
      <c r="A153" s="24"/>
      <c r="B153" s="24"/>
      <c r="C153" s="25"/>
      <c r="D153" s="24"/>
    </row>
    <row r="154" customFormat="false" ht="15" hidden="false" customHeight="true" outlineLevel="0" collapsed="false">
      <c r="A154" s="24"/>
      <c r="B154" s="24"/>
      <c r="C154" s="25"/>
      <c r="D154" s="24"/>
    </row>
    <row r="155" customFormat="false" ht="15" hidden="false" customHeight="true" outlineLevel="0" collapsed="false">
      <c r="A155" s="24"/>
      <c r="B155" s="24"/>
      <c r="C155" s="25"/>
      <c r="D155" s="24"/>
    </row>
    <row r="156" customFormat="false" ht="15" hidden="false" customHeight="true" outlineLevel="0" collapsed="false">
      <c r="A156" s="24"/>
      <c r="B156" s="24"/>
      <c r="C156" s="25"/>
      <c r="D156" s="24"/>
    </row>
    <row r="157" customFormat="false" ht="15" hidden="false" customHeight="true" outlineLevel="0" collapsed="false">
      <c r="A157" s="24"/>
      <c r="B157" s="24"/>
      <c r="C157" s="25"/>
      <c r="D157" s="24"/>
    </row>
    <row r="158" customFormat="false" ht="15" hidden="false" customHeight="true" outlineLevel="0" collapsed="false">
      <c r="A158" s="24"/>
      <c r="B158" s="24"/>
      <c r="C158" s="25"/>
      <c r="D158" s="24"/>
    </row>
    <row r="159" customFormat="false" ht="15" hidden="false" customHeight="true" outlineLevel="0" collapsed="false">
      <c r="A159" s="24"/>
      <c r="B159" s="24"/>
      <c r="C159" s="25"/>
      <c r="D159" s="24"/>
    </row>
    <row r="160" customFormat="false" ht="15" hidden="false" customHeight="true" outlineLevel="0" collapsed="false">
      <c r="A160" s="24"/>
      <c r="B160" s="24"/>
      <c r="C160" s="25"/>
      <c r="D160" s="24"/>
    </row>
    <row r="161" customFormat="false" ht="15" hidden="false" customHeight="true" outlineLevel="0" collapsed="false">
      <c r="A161" s="24"/>
      <c r="B161" s="24"/>
      <c r="C161" s="25"/>
      <c r="D161" s="24"/>
    </row>
    <row r="162" customFormat="false" ht="15" hidden="false" customHeight="true" outlineLevel="0" collapsed="false">
      <c r="A162" s="24"/>
      <c r="B162" s="24"/>
      <c r="C162" s="25"/>
      <c r="D162" s="24"/>
    </row>
    <row r="163" customFormat="false" ht="15" hidden="false" customHeight="true" outlineLevel="0" collapsed="false">
      <c r="A163" s="24"/>
      <c r="B163" s="24"/>
      <c r="C163" s="25"/>
      <c r="D163" s="24"/>
    </row>
    <row r="164" customFormat="false" ht="15" hidden="false" customHeight="true" outlineLevel="0" collapsed="false">
      <c r="A164" s="24"/>
      <c r="B164" s="24"/>
      <c r="C164" s="25"/>
      <c r="D164" s="24"/>
    </row>
    <row r="165" customFormat="false" ht="15" hidden="false" customHeight="true" outlineLevel="0" collapsed="false">
      <c r="A165" s="24"/>
      <c r="B165" s="24"/>
      <c r="C165" s="25"/>
      <c r="D165" s="24"/>
    </row>
    <row r="166" customFormat="false" ht="15" hidden="false" customHeight="true" outlineLevel="0" collapsed="false">
      <c r="A166" s="24"/>
      <c r="B166" s="24"/>
      <c r="C166" s="25"/>
      <c r="D166" s="24"/>
    </row>
    <row r="167" customFormat="false" ht="15" hidden="false" customHeight="true" outlineLevel="0" collapsed="false">
      <c r="A167" s="24"/>
      <c r="B167" s="24"/>
      <c r="C167" s="25"/>
      <c r="D167" s="24"/>
    </row>
    <row r="168" customFormat="false" ht="15" hidden="false" customHeight="true" outlineLevel="0" collapsed="false">
      <c r="A168" s="24"/>
      <c r="B168" s="24"/>
      <c r="C168" s="25"/>
      <c r="D168" s="24"/>
    </row>
    <row r="169" customFormat="false" ht="15" hidden="false" customHeight="true" outlineLevel="0" collapsed="false">
      <c r="A169" s="24"/>
      <c r="B169" s="24"/>
      <c r="C169" s="25"/>
      <c r="D169" s="24"/>
    </row>
    <row r="170" customFormat="false" ht="15" hidden="false" customHeight="true" outlineLevel="0" collapsed="false">
      <c r="A170" s="24"/>
      <c r="B170" s="24"/>
      <c r="C170" s="25"/>
      <c r="D170" s="24"/>
    </row>
    <row r="171" customFormat="false" ht="15" hidden="false" customHeight="true" outlineLevel="0" collapsed="false">
      <c r="A171" s="24"/>
      <c r="B171" s="24"/>
      <c r="C171" s="25"/>
      <c r="D171" s="24"/>
    </row>
    <row r="172" customFormat="false" ht="15" hidden="false" customHeight="true" outlineLevel="0" collapsed="false">
      <c r="A172" s="24"/>
      <c r="B172" s="24"/>
      <c r="C172" s="25"/>
      <c r="D172" s="24"/>
    </row>
    <row r="173" customFormat="false" ht="15" hidden="false" customHeight="true" outlineLevel="0" collapsed="false">
      <c r="A173" s="24"/>
      <c r="B173" s="24"/>
      <c r="C173" s="25"/>
      <c r="D173" s="24"/>
    </row>
    <row r="174" customFormat="false" ht="15" hidden="false" customHeight="true" outlineLevel="0" collapsed="false">
      <c r="A174" s="24"/>
      <c r="B174" s="24"/>
      <c r="C174" s="25"/>
      <c r="D174" s="24"/>
    </row>
    <row r="175" customFormat="false" ht="15" hidden="false" customHeight="true" outlineLevel="0" collapsed="false">
      <c r="A175" s="24"/>
      <c r="B175" s="24"/>
      <c r="C175" s="25"/>
      <c r="D175" s="24"/>
    </row>
    <row r="176" customFormat="false" ht="15" hidden="false" customHeight="true" outlineLevel="0" collapsed="false">
      <c r="A176" s="24"/>
      <c r="B176" s="24"/>
      <c r="C176" s="25"/>
      <c r="D176" s="24"/>
    </row>
    <row r="177" customFormat="false" ht="15" hidden="false" customHeight="true" outlineLevel="0" collapsed="false">
      <c r="A177" s="24"/>
      <c r="B177" s="24"/>
      <c r="C177" s="25"/>
      <c r="D177" s="24"/>
    </row>
    <row r="178" customFormat="false" ht="15" hidden="false" customHeight="true" outlineLevel="0" collapsed="false">
      <c r="A178" s="24"/>
      <c r="B178" s="24"/>
      <c r="C178" s="25"/>
      <c r="D178" s="24"/>
    </row>
    <row r="179" customFormat="false" ht="15" hidden="false" customHeight="true" outlineLevel="0" collapsed="false">
      <c r="A179" s="24"/>
      <c r="B179" s="24"/>
      <c r="C179" s="25"/>
      <c r="D179" s="24"/>
    </row>
    <row r="180" customFormat="false" ht="15" hidden="false" customHeight="true" outlineLevel="0" collapsed="false">
      <c r="A180" s="24"/>
      <c r="B180" s="24"/>
      <c r="C180" s="25"/>
      <c r="D180" s="24"/>
    </row>
    <row r="181" customFormat="false" ht="15" hidden="false" customHeight="true" outlineLevel="0" collapsed="false">
      <c r="A181" s="24"/>
      <c r="B181" s="24"/>
      <c r="C181" s="25"/>
      <c r="D181" s="24"/>
    </row>
    <row r="182" customFormat="false" ht="15" hidden="false" customHeight="true" outlineLevel="0" collapsed="false">
      <c r="A182" s="24"/>
      <c r="B182" s="24"/>
      <c r="C182" s="25"/>
      <c r="D182" s="24"/>
    </row>
    <row r="183" customFormat="false" ht="15" hidden="false" customHeight="true" outlineLevel="0" collapsed="false">
      <c r="A183" s="24"/>
      <c r="B183" s="24"/>
      <c r="C183" s="25"/>
      <c r="D183" s="24"/>
    </row>
    <row r="184" customFormat="false" ht="15" hidden="false" customHeight="true" outlineLevel="0" collapsed="false">
      <c r="A184" s="24"/>
      <c r="B184" s="24"/>
      <c r="C184" s="25"/>
      <c r="D184" s="24"/>
    </row>
    <row r="185" customFormat="false" ht="15" hidden="false" customHeight="true" outlineLevel="0" collapsed="false">
      <c r="A185" s="24"/>
      <c r="B185" s="24"/>
      <c r="C185" s="25"/>
      <c r="D185" s="24"/>
    </row>
    <row r="186" customFormat="false" ht="15" hidden="false" customHeight="true" outlineLevel="0" collapsed="false">
      <c r="A186" s="24"/>
      <c r="B186" s="24"/>
      <c r="C186" s="25"/>
      <c r="D186" s="24"/>
    </row>
    <row r="187" customFormat="false" ht="15" hidden="false" customHeight="true" outlineLevel="0" collapsed="false">
      <c r="A187" s="24"/>
      <c r="B187" s="24"/>
      <c r="C187" s="25"/>
      <c r="D187" s="24"/>
    </row>
    <row r="188" customFormat="false" ht="15" hidden="false" customHeight="true" outlineLevel="0" collapsed="false">
      <c r="A188" s="24"/>
      <c r="B188" s="24"/>
      <c r="C188" s="25"/>
      <c r="D188" s="24"/>
    </row>
    <row r="189" customFormat="false" ht="15" hidden="false" customHeight="true" outlineLevel="0" collapsed="false">
      <c r="A189" s="24"/>
      <c r="B189" s="24"/>
      <c r="C189" s="25"/>
      <c r="D189" s="24"/>
    </row>
    <row r="190" customFormat="false" ht="15" hidden="false" customHeight="true" outlineLevel="0" collapsed="false">
      <c r="A190" s="24"/>
      <c r="B190" s="24"/>
      <c r="C190" s="25"/>
      <c r="D190" s="24"/>
    </row>
    <row r="191" customFormat="false" ht="15" hidden="false" customHeight="true" outlineLevel="0" collapsed="false">
      <c r="A191" s="24"/>
      <c r="B191" s="24"/>
      <c r="C191" s="25"/>
      <c r="D191" s="24"/>
    </row>
    <row r="192" customFormat="false" ht="15" hidden="false" customHeight="true" outlineLevel="0" collapsed="false">
      <c r="A192" s="24"/>
      <c r="B192" s="24"/>
      <c r="C192" s="25"/>
      <c r="D192" s="24"/>
    </row>
    <row r="193" customFormat="false" ht="15" hidden="false" customHeight="true" outlineLevel="0" collapsed="false">
      <c r="A193" s="24"/>
      <c r="B193" s="24"/>
      <c r="C193" s="25"/>
      <c r="D193" s="24"/>
    </row>
    <row r="194" customFormat="false" ht="15" hidden="false" customHeight="true" outlineLevel="0" collapsed="false">
      <c r="A194" s="24"/>
      <c r="B194" s="24"/>
      <c r="C194" s="25"/>
      <c r="D194" s="24"/>
    </row>
    <row r="195" customFormat="false" ht="15" hidden="false" customHeight="true" outlineLevel="0" collapsed="false">
      <c r="A195" s="24"/>
      <c r="B195" s="24"/>
      <c r="C195" s="25"/>
      <c r="D195" s="24"/>
    </row>
    <row r="196" customFormat="false" ht="15" hidden="false" customHeight="true" outlineLevel="0" collapsed="false">
      <c r="A196" s="24"/>
      <c r="B196" s="24"/>
      <c r="C196" s="25"/>
      <c r="D196" s="24"/>
    </row>
    <row r="197" customFormat="false" ht="15" hidden="false" customHeight="true" outlineLevel="0" collapsed="false">
      <c r="A197" s="24"/>
      <c r="B197" s="24"/>
      <c r="C197" s="25"/>
      <c r="D197" s="24"/>
    </row>
    <row r="198" customFormat="false" ht="15" hidden="false" customHeight="true" outlineLevel="0" collapsed="false">
      <c r="A198" s="24"/>
      <c r="B198" s="24"/>
      <c r="C198" s="25"/>
      <c r="D198" s="24"/>
    </row>
    <row r="199" customFormat="false" ht="15" hidden="false" customHeight="true" outlineLevel="0" collapsed="false">
      <c r="A199" s="24"/>
      <c r="B199" s="24"/>
      <c r="C199" s="25"/>
      <c r="D199" s="24"/>
    </row>
    <row r="200" customFormat="false" ht="15" hidden="false" customHeight="true" outlineLevel="0" collapsed="false">
      <c r="A200" s="24"/>
      <c r="B200" s="24"/>
      <c r="C200" s="25"/>
      <c r="D200" s="24"/>
    </row>
    <row r="201" customFormat="false" ht="15" hidden="false" customHeight="true" outlineLevel="0" collapsed="false">
      <c r="A201" s="24"/>
      <c r="B201" s="24"/>
      <c r="C201" s="25"/>
      <c r="D201" s="24"/>
    </row>
    <row r="202" customFormat="false" ht="15" hidden="false" customHeight="true" outlineLevel="0" collapsed="false">
      <c r="A202" s="24"/>
      <c r="B202" s="24"/>
      <c r="C202" s="25"/>
      <c r="D202" s="24"/>
    </row>
    <row r="203" customFormat="false" ht="15" hidden="false" customHeight="true" outlineLevel="0" collapsed="false">
      <c r="A203" s="24"/>
      <c r="B203" s="24"/>
      <c r="C203" s="25"/>
      <c r="D203" s="24"/>
    </row>
    <row r="204" customFormat="false" ht="15" hidden="false" customHeight="true" outlineLevel="0" collapsed="false">
      <c r="A204" s="24"/>
      <c r="B204" s="24"/>
      <c r="C204" s="25"/>
      <c r="D204" s="24"/>
    </row>
    <row r="205" customFormat="false" ht="15" hidden="false" customHeight="true" outlineLevel="0" collapsed="false">
      <c r="A205" s="24"/>
      <c r="B205" s="24"/>
      <c r="C205" s="25"/>
      <c r="D205" s="24"/>
    </row>
  </sheetData>
  <mergeCells count="3">
    <mergeCell ref="A1:I1"/>
    <mergeCell ref="A2:I2"/>
    <mergeCell ref="F16:H20"/>
  </mergeCells>
  <conditionalFormatting sqref="H14">
    <cfRule type="cellIs" priority="2" operator="greaterThan" aboveAverage="0" equalAverage="0" bottom="0" percent="0" rank="0" text="" dxfId="1">
      <formula>0.5</formula>
    </cfRule>
  </conditionalFormatting>
  <dataValidations count="1">
    <dataValidation allowBlank="true" errorStyle="stop" operator="between" showDropDown="false" showErrorMessage="false" showInputMessage="false" sqref="D6:D205" type="list">
      <formula1>"Alistando,Reabasteciendo,Caminando,Buscando,Esperando,Reprocesando,Otro"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3"/>
    <col collapsed="false" customWidth="true" hidden="false" outlineLevel="0" max="4" min="4" style="1" width="17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20"/>
  </cols>
  <sheetData>
    <row r="1" customFormat="false" ht="24" hidden="false" customHeight="true" outlineLevel="0" collapsed="false">
      <c r="A1" s="11" t="s">
        <v>150</v>
      </c>
      <c r="B1" s="11"/>
      <c r="C1" s="11"/>
      <c r="D1" s="11"/>
      <c r="E1" s="11"/>
      <c r="F1" s="11"/>
      <c r="G1" s="11"/>
      <c r="H1" s="11"/>
    </row>
    <row r="2" customFormat="false" ht="30" hidden="false" customHeight="true" outlineLevel="0" collapsed="false">
      <c r="A2" s="12" t="s">
        <v>151</v>
      </c>
      <c r="B2" s="12"/>
      <c r="C2" s="12"/>
      <c r="D2" s="12"/>
      <c r="E2" s="12"/>
      <c r="F2" s="12"/>
      <c r="G2" s="12"/>
      <c r="H2" s="12"/>
    </row>
    <row r="4" customFormat="false" ht="30" hidden="false" customHeight="true" outlineLevel="0" collapsed="false">
      <c r="A4" s="13" t="s">
        <v>152</v>
      </c>
      <c r="B4" s="13" t="s">
        <v>153</v>
      </c>
      <c r="C4" s="13" t="s">
        <v>154</v>
      </c>
      <c r="D4" s="13" t="s">
        <v>155</v>
      </c>
      <c r="E4" s="13" t="s">
        <v>156</v>
      </c>
      <c r="F4" s="13" t="s">
        <v>157</v>
      </c>
      <c r="G4" s="13" t="s">
        <v>158</v>
      </c>
      <c r="H4" s="13" t="s">
        <v>159</v>
      </c>
    </row>
    <row r="5" customFormat="false" ht="15" hidden="false" customHeight="true" outlineLevel="0" collapsed="false">
      <c r="A5" s="26" t="s">
        <v>160</v>
      </c>
      <c r="B5" s="26" t="s">
        <v>161</v>
      </c>
      <c r="C5" s="26" t="s">
        <v>162</v>
      </c>
      <c r="D5" s="26" t="s">
        <v>163</v>
      </c>
      <c r="E5" s="26" t="s">
        <v>164</v>
      </c>
      <c r="F5" s="26" t="n">
        <f aca="false">IF(OR($C5="",$D5=""),"",($D5-$C5)*1440)</f>
        <v>85</v>
      </c>
      <c r="G5" s="26" t="n">
        <f aca="false">IF(OR($D5="",$E5=""),"",($E5-$D5)*1440)</f>
        <v>75.0000000000001</v>
      </c>
      <c r="H5" s="26" t="n">
        <f aca="false">IF(OR($C5="",$E5=""),"",($E5-$C5)*1440)</f>
        <v>160</v>
      </c>
    </row>
    <row r="6" customFormat="false" ht="16.5" hidden="false" customHeight="true" outlineLevel="0" collapsed="false">
      <c r="A6" s="25"/>
      <c r="B6" s="25"/>
      <c r="C6" s="50"/>
      <c r="D6" s="50"/>
      <c r="E6" s="50"/>
      <c r="F6" s="51" t="str">
        <f aca="false">IF(OR($C6="",$D6=""),"",($D6-$C6)*1440)</f>
        <v/>
      </c>
      <c r="G6" s="51" t="str">
        <f aca="false">IF(OR($D6="",$E6=""),"",($E6-$D6)*1440)</f>
        <v/>
      </c>
      <c r="H6" s="51" t="str">
        <f aca="false">IF(OR($C6="",$E6=""),"",($E6-$C6)*1440)</f>
        <v/>
      </c>
    </row>
    <row r="7" customFormat="false" ht="16.5" hidden="false" customHeight="true" outlineLevel="0" collapsed="false">
      <c r="A7" s="25"/>
      <c r="B7" s="25"/>
      <c r="C7" s="50"/>
      <c r="D7" s="50"/>
      <c r="E7" s="50"/>
      <c r="F7" s="51" t="str">
        <f aca="false">IF(OR($C7="",$D7=""),"",($D7-$C7)*1440)</f>
        <v/>
      </c>
      <c r="G7" s="51" t="str">
        <f aca="false">IF(OR($D7="",$E7=""),"",($E7-$D7)*1440)</f>
        <v/>
      </c>
      <c r="H7" s="51" t="str">
        <f aca="false">IF(OR($C7="",$E7=""),"",($E7-$C7)*1440)</f>
        <v/>
      </c>
    </row>
    <row r="8" customFormat="false" ht="16.5" hidden="false" customHeight="true" outlineLevel="0" collapsed="false">
      <c r="A8" s="25"/>
      <c r="B8" s="25"/>
      <c r="C8" s="50"/>
      <c r="D8" s="50"/>
      <c r="E8" s="50"/>
      <c r="F8" s="51" t="str">
        <f aca="false">IF(OR($C8="",$D8=""),"",($D8-$C8)*1440)</f>
        <v/>
      </c>
      <c r="G8" s="51" t="str">
        <f aca="false">IF(OR($D8="",$E8=""),"",($E8-$D8)*1440)</f>
        <v/>
      </c>
      <c r="H8" s="51" t="str">
        <f aca="false">IF(OR($C8="",$E8=""),"",($E8-$C8)*1440)</f>
        <v/>
      </c>
    </row>
    <row r="9" customFormat="false" ht="16.5" hidden="false" customHeight="true" outlineLevel="0" collapsed="false">
      <c r="A9" s="25"/>
      <c r="B9" s="25"/>
      <c r="C9" s="50"/>
      <c r="D9" s="50"/>
      <c r="E9" s="50"/>
      <c r="F9" s="51" t="str">
        <f aca="false">IF(OR($C9="",$D9=""),"",($D9-$C9)*1440)</f>
        <v/>
      </c>
      <c r="G9" s="51" t="str">
        <f aca="false">IF(OR($D9="",$E9=""),"",($E9-$D9)*1440)</f>
        <v/>
      </c>
      <c r="H9" s="51" t="str">
        <f aca="false">IF(OR($C9="",$E9=""),"",($E9-$C9)*1440)</f>
        <v/>
      </c>
    </row>
    <row r="10" customFormat="false" ht="16.5" hidden="false" customHeight="true" outlineLevel="0" collapsed="false">
      <c r="A10" s="25"/>
      <c r="B10" s="25"/>
      <c r="C10" s="50"/>
      <c r="D10" s="50"/>
      <c r="E10" s="50"/>
      <c r="F10" s="51" t="str">
        <f aca="false">IF(OR($C10="",$D10=""),"",($D10-$C10)*1440)</f>
        <v/>
      </c>
      <c r="G10" s="51" t="str">
        <f aca="false">IF(OR($D10="",$E10=""),"",($E10-$D10)*1440)</f>
        <v/>
      </c>
      <c r="H10" s="51" t="str">
        <f aca="false">IF(OR($C10="",$E10=""),"",($E10-$C10)*1440)</f>
        <v/>
      </c>
    </row>
    <row r="11" customFormat="false" ht="16.5" hidden="false" customHeight="true" outlineLevel="0" collapsed="false">
      <c r="A11" s="25"/>
      <c r="B11" s="25"/>
      <c r="C11" s="50"/>
      <c r="D11" s="50"/>
      <c r="E11" s="50"/>
      <c r="F11" s="51" t="str">
        <f aca="false">IF(OR($C11="",$D11=""),"",($D11-$C11)*1440)</f>
        <v/>
      </c>
      <c r="G11" s="51" t="str">
        <f aca="false">IF(OR($D11="",$E11=""),"",($E11-$D11)*1440)</f>
        <v/>
      </c>
      <c r="H11" s="51" t="str">
        <f aca="false">IF(OR($C11="",$E11=""),"",($E11-$C11)*1440)</f>
        <v/>
      </c>
    </row>
    <row r="12" customFormat="false" ht="16.5" hidden="false" customHeight="true" outlineLevel="0" collapsed="false">
      <c r="A12" s="25"/>
      <c r="B12" s="25"/>
      <c r="C12" s="50"/>
      <c r="D12" s="50"/>
      <c r="E12" s="50"/>
      <c r="F12" s="51" t="str">
        <f aca="false">IF(OR($C12="",$D12=""),"",($D12-$C12)*1440)</f>
        <v/>
      </c>
      <c r="G12" s="51" t="str">
        <f aca="false">IF(OR($D12="",$E12=""),"",($E12-$D12)*1440)</f>
        <v/>
      </c>
      <c r="H12" s="51" t="str">
        <f aca="false">IF(OR($C12="",$E12=""),"",($E12-$C12)*1440)</f>
        <v/>
      </c>
    </row>
    <row r="13" customFormat="false" ht="16.5" hidden="false" customHeight="true" outlineLevel="0" collapsed="false">
      <c r="A13" s="25"/>
      <c r="B13" s="25"/>
      <c r="C13" s="50"/>
      <c r="D13" s="50"/>
      <c r="E13" s="50"/>
      <c r="F13" s="51" t="str">
        <f aca="false">IF(OR($C13="",$D13=""),"",($D13-$C13)*1440)</f>
        <v/>
      </c>
      <c r="G13" s="51" t="str">
        <f aca="false">IF(OR($D13="",$E13=""),"",($E13-$D13)*1440)</f>
        <v/>
      </c>
      <c r="H13" s="51" t="str">
        <f aca="false">IF(OR($C13="",$E13=""),"",($E13-$C13)*1440)</f>
        <v/>
      </c>
    </row>
    <row r="14" customFormat="false" ht="16.5" hidden="false" customHeight="true" outlineLevel="0" collapsed="false">
      <c r="A14" s="25"/>
      <c r="B14" s="25"/>
      <c r="C14" s="50"/>
      <c r="D14" s="50"/>
      <c r="E14" s="50"/>
      <c r="F14" s="51" t="str">
        <f aca="false">IF(OR($C14="",$D14=""),"",($D14-$C14)*1440)</f>
        <v/>
      </c>
      <c r="G14" s="51" t="str">
        <f aca="false">IF(OR($D14="",$E14=""),"",($E14-$D14)*1440)</f>
        <v/>
      </c>
      <c r="H14" s="51" t="str">
        <f aca="false">IF(OR($C14="",$E14=""),"",($E14-$C14)*1440)</f>
        <v/>
      </c>
    </row>
    <row r="15" customFormat="false" ht="16.5" hidden="false" customHeight="true" outlineLevel="0" collapsed="false">
      <c r="A15" s="25"/>
      <c r="B15" s="25"/>
      <c r="C15" s="50"/>
      <c r="D15" s="50"/>
      <c r="E15" s="50"/>
      <c r="F15" s="51" t="str">
        <f aca="false">IF(OR($C15="",$D15=""),"",($D15-$C15)*1440)</f>
        <v/>
      </c>
      <c r="G15" s="51" t="str">
        <f aca="false">IF(OR($D15="",$E15=""),"",($E15-$D15)*1440)</f>
        <v/>
      </c>
      <c r="H15" s="51" t="str">
        <f aca="false">IF(OR($C15="",$E15=""),"",($E15-$C15)*1440)</f>
        <v/>
      </c>
    </row>
    <row r="16" customFormat="false" ht="16.5" hidden="false" customHeight="true" outlineLevel="0" collapsed="false">
      <c r="A16" s="25"/>
      <c r="B16" s="25"/>
      <c r="C16" s="50"/>
      <c r="D16" s="50"/>
      <c r="E16" s="50"/>
      <c r="F16" s="51" t="str">
        <f aca="false">IF(OR($C16="",$D16=""),"",($D16-$C16)*1440)</f>
        <v/>
      </c>
      <c r="G16" s="51" t="str">
        <f aca="false">IF(OR($D16="",$E16=""),"",($E16-$D16)*1440)</f>
        <v/>
      </c>
      <c r="H16" s="51" t="str">
        <f aca="false">IF(OR($C16="",$E16=""),"",($E16-$C16)*1440)</f>
        <v/>
      </c>
    </row>
    <row r="17" customFormat="false" ht="16.5" hidden="false" customHeight="true" outlineLevel="0" collapsed="false">
      <c r="A17" s="25"/>
      <c r="B17" s="25"/>
      <c r="C17" s="50"/>
      <c r="D17" s="50"/>
      <c r="E17" s="50"/>
      <c r="F17" s="51" t="str">
        <f aca="false">IF(OR($C17="",$D17=""),"",($D17-$C17)*1440)</f>
        <v/>
      </c>
      <c r="G17" s="51" t="str">
        <f aca="false">IF(OR($D17="",$E17=""),"",($E17-$D17)*1440)</f>
        <v/>
      </c>
      <c r="H17" s="51" t="str">
        <f aca="false">IF(OR($C17="",$E17=""),"",($E17-$C17)*1440)</f>
        <v/>
      </c>
    </row>
    <row r="18" customFormat="false" ht="16.5" hidden="false" customHeight="true" outlineLevel="0" collapsed="false">
      <c r="A18" s="25"/>
      <c r="B18" s="25"/>
      <c r="C18" s="50"/>
      <c r="D18" s="50"/>
      <c r="E18" s="50"/>
      <c r="F18" s="51" t="str">
        <f aca="false">IF(OR($C18="",$D18=""),"",($D18-$C18)*1440)</f>
        <v/>
      </c>
      <c r="G18" s="51" t="str">
        <f aca="false">IF(OR($D18="",$E18=""),"",($E18-$D18)*1440)</f>
        <v/>
      </c>
      <c r="H18" s="51" t="str">
        <f aca="false">IF(OR($C18="",$E18=""),"",($E18-$C18)*1440)</f>
        <v/>
      </c>
    </row>
    <row r="19" customFormat="false" ht="16.5" hidden="false" customHeight="true" outlineLevel="0" collapsed="false">
      <c r="A19" s="25"/>
      <c r="B19" s="25"/>
      <c r="C19" s="50"/>
      <c r="D19" s="50"/>
      <c r="E19" s="50"/>
      <c r="F19" s="51" t="str">
        <f aca="false">IF(OR($C19="",$D19=""),"",($D19-$C19)*1440)</f>
        <v/>
      </c>
      <c r="G19" s="51" t="str">
        <f aca="false">IF(OR($D19="",$E19=""),"",($E19-$D19)*1440)</f>
        <v/>
      </c>
      <c r="H19" s="51" t="str">
        <f aca="false">IF(OR($C19="",$E19=""),"",($E19-$C19)*1440)</f>
        <v/>
      </c>
    </row>
    <row r="20" customFormat="false" ht="16.5" hidden="false" customHeight="true" outlineLevel="0" collapsed="false">
      <c r="A20" s="25"/>
      <c r="B20" s="25"/>
      <c r="C20" s="50"/>
      <c r="D20" s="50"/>
      <c r="E20" s="50"/>
      <c r="F20" s="51" t="str">
        <f aca="false">IF(OR($C20="",$D20=""),"",($D20-$C20)*1440)</f>
        <v/>
      </c>
      <c r="G20" s="51" t="str">
        <f aca="false">IF(OR($D20="",$E20=""),"",($E20-$D20)*1440)</f>
        <v/>
      </c>
      <c r="H20" s="51" t="str">
        <f aca="false">IF(OR($C20="",$E20=""),"",($E20-$C20)*1440)</f>
        <v/>
      </c>
    </row>
    <row r="21" customFormat="false" ht="16.5" hidden="false" customHeight="true" outlineLevel="0" collapsed="false">
      <c r="A21" s="25"/>
      <c r="B21" s="25"/>
      <c r="C21" s="50"/>
      <c r="D21" s="50"/>
      <c r="E21" s="50"/>
      <c r="F21" s="51" t="str">
        <f aca="false">IF(OR($C21="",$D21=""),"",($D21-$C21)*1440)</f>
        <v/>
      </c>
      <c r="G21" s="51" t="str">
        <f aca="false">IF(OR($D21="",$E21=""),"",($E21-$D21)*1440)</f>
        <v/>
      </c>
      <c r="H21" s="51" t="str">
        <f aca="false">IF(OR($C21="",$E21=""),"",($E21-$C21)*1440)</f>
        <v/>
      </c>
    </row>
    <row r="22" customFormat="false" ht="16.5" hidden="false" customHeight="true" outlineLevel="0" collapsed="false">
      <c r="A22" s="25"/>
      <c r="B22" s="25"/>
      <c r="C22" s="50"/>
      <c r="D22" s="50"/>
      <c r="E22" s="50"/>
      <c r="F22" s="51" t="str">
        <f aca="false">IF(OR($C22="",$D22=""),"",($D22-$C22)*1440)</f>
        <v/>
      </c>
      <c r="G22" s="51" t="str">
        <f aca="false">IF(OR($D22="",$E22=""),"",($E22-$D22)*1440)</f>
        <v/>
      </c>
      <c r="H22" s="51" t="str">
        <f aca="false">IF(OR($C22="",$E22=""),"",($E22-$C22)*1440)</f>
        <v/>
      </c>
    </row>
    <row r="23" customFormat="false" ht="16.5" hidden="false" customHeight="true" outlineLevel="0" collapsed="false">
      <c r="A23" s="25"/>
      <c r="B23" s="25"/>
      <c r="C23" s="50"/>
      <c r="D23" s="50"/>
      <c r="E23" s="50"/>
      <c r="F23" s="51" t="str">
        <f aca="false">IF(OR($C23="",$D23=""),"",($D23-$C23)*1440)</f>
        <v/>
      </c>
      <c r="G23" s="51" t="str">
        <f aca="false">IF(OR($D23="",$E23=""),"",($E23-$D23)*1440)</f>
        <v/>
      </c>
      <c r="H23" s="51" t="str">
        <f aca="false">IF(OR($C23="",$E23=""),"",($E23-$C23)*1440)</f>
        <v/>
      </c>
    </row>
    <row r="24" customFormat="false" ht="16.5" hidden="false" customHeight="true" outlineLevel="0" collapsed="false">
      <c r="A24" s="25"/>
      <c r="B24" s="25"/>
      <c r="C24" s="50"/>
      <c r="D24" s="50"/>
      <c r="E24" s="50"/>
      <c r="F24" s="51" t="str">
        <f aca="false">IF(OR($C24="",$D24=""),"",($D24-$C24)*1440)</f>
        <v/>
      </c>
      <c r="G24" s="51" t="str">
        <f aca="false">IF(OR($D24="",$E24=""),"",($E24-$D24)*1440)</f>
        <v/>
      </c>
      <c r="H24" s="51" t="str">
        <f aca="false">IF(OR($C24="",$E24=""),"",($E24-$C24)*1440)</f>
        <v/>
      </c>
    </row>
    <row r="25" customFormat="false" ht="16.5" hidden="false" customHeight="true" outlineLevel="0" collapsed="false">
      <c r="A25" s="25"/>
      <c r="B25" s="25"/>
      <c r="C25" s="50"/>
      <c r="D25" s="50"/>
      <c r="E25" s="50"/>
      <c r="F25" s="51" t="str">
        <f aca="false">IF(OR($C25="",$D25=""),"",($D25-$C25)*1440)</f>
        <v/>
      </c>
      <c r="G25" s="51" t="str">
        <f aca="false">IF(OR($D25="",$E25=""),"",($E25-$D25)*1440)</f>
        <v/>
      </c>
      <c r="H25" s="51" t="str">
        <f aca="false">IF(OR($C25="",$E25=""),"",($E25-$C25)*1440)</f>
        <v/>
      </c>
    </row>
    <row r="26" customFormat="false" ht="21.75" hidden="false" customHeight="true" outlineLevel="0" collapsed="false">
      <c r="A26" s="30" t="s">
        <v>165</v>
      </c>
      <c r="B26" s="31"/>
      <c r="C26" s="31"/>
      <c r="D26" s="31"/>
      <c r="E26" s="31"/>
      <c r="F26" s="52" t="str">
        <f aca="false">IF(COUNT(F6:F25)=0,"",AVERAGE(F6:F25))</f>
        <v/>
      </c>
      <c r="G26" s="52" t="str">
        <f aca="false">IF(COUNT(G6:G25)=0,"",AVERAGE(G6:G25))</f>
        <v/>
      </c>
      <c r="H26" s="52" t="str">
        <f aca="false">IF(COUNT(H6:H25)=0,"",AVERAGE(H6:H25))</f>
        <v/>
      </c>
    </row>
    <row r="28" customFormat="false" ht="15" hidden="false" customHeight="true" outlineLevel="0" collapsed="false">
      <c r="A28" s="10" t="s">
        <v>166</v>
      </c>
      <c r="B28" s="10"/>
      <c r="C28" s="10"/>
      <c r="D28" s="10"/>
      <c r="E28" s="10"/>
      <c r="F28" s="10"/>
      <c r="G28" s="10"/>
      <c r="H28" s="10"/>
    </row>
    <row r="29" customFormat="false" ht="15" hidden="false" customHeight="true" outlineLevel="0" collapsed="false">
      <c r="A29" s="10"/>
      <c r="B29" s="10"/>
      <c r="C29" s="10"/>
      <c r="D29" s="10"/>
      <c r="E29" s="10"/>
      <c r="F29" s="10"/>
      <c r="G29" s="10"/>
      <c r="H29" s="10"/>
    </row>
  </sheetData>
  <mergeCells count="3">
    <mergeCell ref="A1:H1"/>
    <mergeCell ref="A2:H2"/>
    <mergeCell ref="A28:H29"/>
  </mergeCells>
  <conditionalFormatting sqref="H26">
    <cfRule type="cellIs" priority="2" operator="greaterThan" aboveAverage="0" equalAverage="0" bottom="0" percent="0" rank="0" text="" dxfId="1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3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24" hidden="false" customHeight="true" outlineLevel="0" collapsed="false">
      <c r="A1" s="11" t="s">
        <v>167</v>
      </c>
      <c r="B1" s="11"/>
      <c r="C1" s="11"/>
      <c r="D1" s="11"/>
      <c r="E1" s="11"/>
      <c r="F1" s="11"/>
    </row>
    <row r="2" customFormat="false" ht="30" hidden="false" customHeight="true" outlineLevel="0" collapsed="false">
      <c r="A2" s="12" t="s">
        <v>168</v>
      </c>
      <c r="B2" s="12"/>
      <c r="C2" s="12"/>
      <c r="D2" s="12"/>
      <c r="E2" s="12"/>
      <c r="F2" s="12"/>
    </row>
    <row r="4" customFormat="false" ht="30" hidden="false" customHeight="true" outlineLevel="0" collapsed="false">
      <c r="A4" s="13" t="s">
        <v>100</v>
      </c>
      <c r="B4" s="13" t="s">
        <v>169</v>
      </c>
      <c r="C4" s="13" t="s">
        <v>170</v>
      </c>
      <c r="D4" s="13" t="s">
        <v>171</v>
      </c>
      <c r="E4" s="13" t="s">
        <v>172</v>
      </c>
      <c r="F4" s="13" t="s">
        <v>59</v>
      </c>
    </row>
    <row r="5" customFormat="false" ht="15" hidden="false" customHeight="true" outlineLevel="0" collapsed="false">
      <c r="A5" s="26" t="s">
        <v>173</v>
      </c>
      <c r="B5" s="26" t="n">
        <v>18</v>
      </c>
      <c r="C5" s="26" t="s">
        <v>174</v>
      </c>
      <c r="D5" s="26" t="s">
        <v>175</v>
      </c>
      <c r="E5" s="26" t="s">
        <v>176</v>
      </c>
      <c r="F5" s="26"/>
    </row>
    <row r="6" customFormat="false" ht="19.5" hidden="false" customHeight="true" outlineLevel="0" collapsed="false">
      <c r="A6" s="25" t="s">
        <v>177</v>
      </c>
      <c r="B6" s="24"/>
      <c r="C6" s="25"/>
      <c r="D6" s="24"/>
      <c r="E6" s="24"/>
      <c r="F6" s="25"/>
    </row>
    <row r="7" customFormat="false" ht="19.5" hidden="false" customHeight="true" outlineLevel="0" collapsed="false">
      <c r="A7" s="25" t="s">
        <v>178</v>
      </c>
      <c r="B7" s="24"/>
      <c r="C7" s="25"/>
      <c r="D7" s="24"/>
      <c r="E7" s="24"/>
      <c r="F7" s="25"/>
    </row>
    <row r="8" customFormat="false" ht="19.5" hidden="false" customHeight="true" outlineLevel="0" collapsed="false">
      <c r="A8" s="25" t="s">
        <v>179</v>
      </c>
      <c r="B8" s="24"/>
      <c r="C8" s="25"/>
      <c r="D8" s="24"/>
      <c r="E8" s="24"/>
      <c r="F8" s="25"/>
    </row>
    <row r="9" customFormat="false" ht="19.5" hidden="false" customHeight="true" outlineLevel="0" collapsed="false">
      <c r="A9" s="25" t="s">
        <v>180</v>
      </c>
      <c r="B9" s="24"/>
      <c r="C9" s="25"/>
      <c r="D9" s="24"/>
      <c r="E9" s="24"/>
      <c r="F9" s="25"/>
    </row>
    <row r="10" customFormat="false" ht="19.5" hidden="false" customHeight="true" outlineLevel="0" collapsed="false">
      <c r="A10" s="25" t="s">
        <v>181</v>
      </c>
      <c r="B10" s="24"/>
      <c r="C10" s="25"/>
      <c r="D10" s="24"/>
      <c r="E10" s="24"/>
      <c r="F10" s="25"/>
    </row>
    <row r="11" customFormat="false" ht="19.5" hidden="false" customHeight="true" outlineLevel="0" collapsed="false">
      <c r="A11" s="25" t="s">
        <v>182</v>
      </c>
      <c r="B11" s="24"/>
      <c r="C11" s="25"/>
      <c r="D11" s="24"/>
      <c r="E11" s="24"/>
      <c r="F11" s="25"/>
    </row>
    <row r="12" customFormat="false" ht="19.5" hidden="false" customHeight="true" outlineLevel="0" collapsed="false">
      <c r="A12" s="25" t="s">
        <v>183</v>
      </c>
      <c r="B12" s="24"/>
      <c r="C12" s="25"/>
      <c r="D12" s="24"/>
      <c r="E12" s="24"/>
      <c r="F12" s="25"/>
    </row>
    <row r="13" customFormat="false" ht="19.5" hidden="false" customHeight="true" outlineLevel="0" collapsed="false">
      <c r="A13" s="25" t="s">
        <v>146</v>
      </c>
      <c r="B13" s="24"/>
      <c r="C13" s="25"/>
      <c r="D13" s="24"/>
      <c r="E13" s="24"/>
      <c r="F13" s="25"/>
    </row>
    <row r="14" customFormat="false" ht="19.5" hidden="false" customHeight="true" outlineLevel="0" collapsed="false">
      <c r="A14" s="25"/>
      <c r="B14" s="24"/>
      <c r="C14" s="25"/>
      <c r="D14" s="24"/>
      <c r="E14" s="24"/>
      <c r="F14" s="25"/>
    </row>
    <row r="15" customFormat="false" ht="19.5" hidden="false" customHeight="true" outlineLevel="0" collapsed="false">
      <c r="A15" s="25"/>
      <c r="B15" s="24"/>
      <c r="C15" s="25"/>
      <c r="D15" s="24"/>
      <c r="E15" s="24"/>
      <c r="F15" s="25"/>
    </row>
    <row r="16" customFormat="false" ht="21.75" hidden="false" customHeight="true" outlineLevel="0" collapsed="false">
      <c r="A16" s="53" t="s">
        <v>184</v>
      </c>
      <c r="B16" s="31" t="str">
        <f aca="false">IF(COUNT(B6:B15)=0,"",SUM(B6:B15))</f>
        <v/>
      </c>
      <c r="C16" s="53"/>
      <c r="D16" s="53"/>
      <c r="E16" s="53"/>
      <c r="F16" s="53"/>
    </row>
  </sheetData>
  <mergeCells count="2">
    <mergeCell ref="A1:F1"/>
    <mergeCell ref="A2:F2"/>
  </mergeCells>
  <dataValidations count="1">
    <dataValidation allowBlank="true" error="Selecciona Sí o No" errorStyle="stop" errorTitle="Valor no válido" operator="between" showDropDown="false" showErrorMessage="false" showInputMessage="false" sqref="E6:E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2"/>
  </cols>
  <sheetData>
    <row r="1" customFormat="false" ht="24" hidden="false" customHeight="true" outlineLevel="0" collapsed="false">
      <c r="A1" s="11" t="s">
        <v>185</v>
      </c>
      <c r="B1" s="11"/>
      <c r="C1" s="11"/>
      <c r="D1" s="11"/>
      <c r="E1" s="11"/>
      <c r="F1" s="11"/>
    </row>
    <row r="2" customFormat="false" ht="30" hidden="false" customHeight="true" outlineLevel="0" collapsed="false">
      <c r="A2" s="12" t="s">
        <v>186</v>
      </c>
      <c r="B2" s="12"/>
      <c r="C2" s="12"/>
      <c r="D2" s="12"/>
      <c r="E2" s="12"/>
      <c r="F2" s="12"/>
    </row>
    <row r="4" customFormat="false" ht="30" hidden="false" customHeight="true" outlineLevel="0" collapsed="false">
      <c r="A4" s="13" t="s">
        <v>57</v>
      </c>
      <c r="B4" s="13" t="s">
        <v>123</v>
      </c>
      <c r="C4" s="13" t="s">
        <v>122</v>
      </c>
      <c r="D4" s="13" t="s">
        <v>187</v>
      </c>
      <c r="E4" s="13" t="s">
        <v>188</v>
      </c>
      <c r="F4" s="13" t="s">
        <v>189</v>
      </c>
    </row>
    <row r="5" customFormat="false" ht="15" hidden="false" customHeight="true" outlineLevel="0" collapsed="false">
      <c r="A5" s="26" t="s">
        <v>190</v>
      </c>
      <c r="B5" s="26" t="s">
        <v>130</v>
      </c>
      <c r="C5" s="26" t="s">
        <v>191</v>
      </c>
      <c r="D5" s="26" t="n">
        <v>22</v>
      </c>
      <c r="E5" s="26" t="s">
        <v>192</v>
      </c>
      <c r="F5" s="26" t="s">
        <v>193</v>
      </c>
    </row>
    <row r="6" customFormat="false" ht="15.75" hidden="false" customHeight="true" outlineLevel="0" collapsed="false">
      <c r="A6" s="24"/>
      <c r="B6" s="25"/>
      <c r="C6" s="25"/>
      <c r="D6" s="24"/>
      <c r="E6" s="25"/>
      <c r="F6" s="24"/>
    </row>
    <row r="7" customFormat="false" ht="15.75" hidden="false" customHeight="true" outlineLevel="0" collapsed="false">
      <c r="A7" s="24"/>
      <c r="B7" s="25"/>
      <c r="C7" s="25"/>
      <c r="D7" s="24"/>
      <c r="E7" s="25"/>
      <c r="F7" s="24"/>
    </row>
    <row r="8" customFormat="false" ht="15.75" hidden="false" customHeight="true" outlineLevel="0" collapsed="false">
      <c r="A8" s="24"/>
      <c r="B8" s="25"/>
      <c r="C8" s="25"/>
      <c r="D8" s="24"/>
      <c r="E8" s="25"/>
      <c r="F8" s="24"/>
    </row>
    <row r="9" customFormat="false" ht="15.75" hidden="false" customHeight="true" outlineLevel="0" collapsed="false">
      <c r="A9" s="24"/>
      <c r="B9" s="25"/>
      <c r="C9" s="25"/>
      <c r="D9" s="24"/>
      <c r="E9" s="25"/>
      <c r="F9" s="24"/>
    </row>
    <row r="10" customFormat="false" ht="15.75" hidden="false" customHeight="true" outlineLevel="0" collapsed="false">
      <c r="A10" s="24"/>
      <c r="B10" s="25"/>
      <c r="C10" s="25"/>
      <c r="D10" s="24"/>
      <c r="E10" s="25"/>
      <c r="F10" s="24"/>
    </row>
    <row r="11" customFormat="false" ht="15.75" hidden="false" customHeight="true" outlineLevel="0" collapsed="false">
      <c r="A11" s="24"/>
      <c r="B11" s="25"/>
      <c r="C11" s="25"/>
      <c r="D11" s="24"/>
      <c r="E11" s="25"/>
      <c r="F11" s="24"/>
    </row>
    <row r="12" customFormat="false" ht="15.75" hidden="false" customHeight="true" outlineLevel="0" collapsed="false">
      <c r="A12" s="24"/>
      <c r="B12" s="25"/>
      <c r="C12" s="25"/>
      <c r="D12" s="24"/>
      <c r="E12" s="25"/>
      <c r="F12" s="24"/>
    </row>
    <row r="13" customFormat="false" ht="15.75" hidden="false" customHeight="true" outlineLevel="0" collapsed="false">
      <c r="A13" s="24"/>
      <c r="B13" s="25"/>
      <c r="C13" s="25"/>
      <c r="D13" s="24"/>
      <c r="E13" s="25"/>
      <c r="F13" s="24"/>
    </row>
    <row r="14" customFormat="false" ht="15.75" hidden="false" customHeight="true" outlineLevel="0" collapsed="false">
      <c r="A14" s="24"/>
      <c r="B14" s="25"/>
      <c r="C14" s="25"/>
      <c r="D14" s="24"/>
      <c r="E14" s="25"/>
      <c r="F14" s="24"/>
    </row>
    <row r="15" customFormat="false" ht="15.75" hidden="false" customHeight="true" outlineLevel="0" collapsed="false">
      <c r="A15" s="24"/>
      <c r="B15" s="25"/>
      <c r="C15" s="25"/>
      <c r="D15" s="24"/>
      <c r="E15" s="25"/>
      <c r="F15" s="24"/>
    </row>
    <row r="16" customFormat="false" ht="15.75" hidden="false" customHeight="true" outlineLevel="0" collapsed="false">
      <c r="A16" s="24"/>
      <c r="B16" s="25"/>
      <c r="C16" s="25"/>
      <c r="D16" s="24"/>
      <c r="E16" s="25"/>
      <c r="F16" s="24"/>
    </row>
    <row r="17" customFormat="false" ht="15.75" hidden="false" customHeight="true" outlineLevel="0" collapsed="false">
      <c r="A17" s="24"/>
      <c r="B17" s="25"/>
      <c r="C17" s="25"/>
      <c r="D17" s="24"/>
      <c r="E17" s="25"/>
      <c r="F17" s="24"/>
    </row>
    <row r="18" customFormat="false" ht="15.75" hidden="false" customHeight="true" outlineLevel="0" collapsed="false">
      <c r="A18" s="24"/>
      <c r="B18" s="25"/>
      <c r="C18" s="25"/>
      <c r="D18" s="24"/>
      <c r="E18" s="25"/>
      <c r="F18" s="24"/>
    </row>
    <row r="19" customFormat="false" ht="15.75" hidden="false" customHeight="true" outlineLevel="0" collapsed="false">
      <c r="A19" s="24"/>
      <c r="B19" s="25"/>
      <c r="C19" s="25"/>
      <c r="D19" s="24"/>
      <c r="E19" s="25"/>
      <c r="F19" s="24"/>
    </row>
    <row r="20" customFormat="false" ht="15.75" hidden="false" customHeight="true" outlineLevel="0" collapsed="false">
      <c r="A20" s="24"/>
      <c r="B20" s="25"/>
      <c r="C20" s="25"/>
      <c r="D20" s="24"/>
      <c r="E20" s="25"/>
      <c r="F20" s="24"/>
    </row>
    <row r="21" customFormat="false" ht="15.75" hidden="false" customHeight="true" outlineLevel="0" collapsed="false">
      <c r="A21" s="24"/>
      <c r="B21" s="25"/>
      <c r="C21" s="25"/>
      <c r="D21" s="24"/>
      <c r="E21" s="25"/>
      <c r="F21" s="24"/>
    </row>
    <row r="22" customFormat="false" ht="15.75" hidden="false" customHeight="true" outlineLevel="0" collapsed="false">
      <c r="A22" s="24"/>
      <c r="B22" s="25"/>
      <c r="C22" s="25"/>
      <c r="D22" s="24"/>
      <c r="E22" s="25"/>
      <c r="F22" s="24"/>
    </row>
    <row r="23" customFormat="false" ht="15.75" hidden="false" customHeight="true" outlineLevel="0" collapsed="false">
      <c r="A23" s="24"/>
      <c r="B23" s="25"/>
      <c r="C23" s="25"/>
      <c r="D23" s="24"/>
      <c r="E23" s="25"/>
      <c r="F23" s="24"/>
    </row>
    <row r="24" customFormat="false" ht="15.75" hidden="false" customHeight="true" outlineLevel="0" collapsed="false">
      <c r="A24" s="24"/>
      <c r="B24" s="25"/>
      <c r="C24" s="25"/>
      <c r="D24" s="24"/>
      <c r="E24" s="25"/>
      <c r="F24" s="24"/>
    </row>
    <row r="25" customFormat="false" ht="15.75" hidden="false" customHeight="true" outlineLevel="0" collapsed="false">
      <c r="A25" s="24"/>
      <c r="B25" s="25"/>
      <c r="C25" s="25"/>
      <c r="D25" s="24"/>
      <c r="E25" s="25"/>
      <c r="F25" s="24"/>
    </row>
    <row r="26" customFormat="false" ht="15.75" hidden="false" customHeight="true" outlineLevel="0" collapsed="false">
      <c r="A26" s="24"/>
      <c r="B26" s="25"/>
      <c r="C26" s="25"/>
      <c r="D26" s="24"/>
      <c r="E26" s="25"/>
      <c r="F26" s="24"/>
    </row>
    <row r="27" customFormat="false" ht="15.75" hidden="false" customHeight="true" outlineLevel="0" collapsed="false">
      <c r="A27" s="24"/>
      <c r="B27" s="25"/>
      <c r="C27" s="25"/>
      <c r="D27" s="24"/>
      <c r="E27" s="25"/>
      <c r="F27" s="24"/>
    </row>
    <row r="28" customFormat="false" ht="15.75" hidden="false" customHeight="true" outlineLevel="0" collapsed="false">
      <c r="A28" s="24"/>
      <c r="B28" s="25"/>
      <c r="C28" s="25"/>
      <c r="D28" s="24"/>
      <c r="E28" s="25"/>
      <c r="F28" s="24"/>
    </row>
    <row r="29" customFormat="false" ht="15.75" hidden="false" customHeight="true" outlineLevel="0" collapsed="false">
      <c r="A29" s="24"/>
      <c r="B29" s="25"/>
      <c r="C29" s="25"/>
      <c r="D29" s="24"/>
      <c r="E29" s="25"/>
      <c r="F29" s="24"/>
    </row>
    <row r="30" customFormat="false" ht="15.75" hidden="false" customHeight="true" outlineLevel="0" collapsed="false">
      <c r="A30" s="24"/>
      <c r="B30" s="25"/>
      <c r="C30" s="25"/>
      <c r="D30" s="24"/>
      <c r="E30" s="25"/>
      <c r="F30" s="24"/>
    </row>
    <row r="31" customFormat="false" ht="15.75" hidden="false" customHeight="true" outlineLevel="0" collapsed="false">
      <c r="A31" s="24"/>
      <c r="B31" s="25"/>
      <c r="C31" s="25"/>
      <c r="D31" s="24"/>
      <c r="E31" s="25"/>
      <c r="F31" s="24"/>
    </row>
    <row r="32" customFormat="false" ht="15.75" hidden="false" customHeight="true" outlineLevel="0" collapsed="false">
      <c r="A32" s="24"/>
      <c r="B32" s="25"/>
      <c r="C32" s="25"/>
      <c r="D32" s="24"/>
      <c r="E32" s="25"/>
      <c r="F32" s="24"/>
    </row>
    <row r="33" customFormat="false" ht="15.75" hidden="false" customHeight="true" outlineLevel="0" collapsed="false">
      <c r="A33" s="24"/>
      <c r="B33" s="25"/>
      <c r="C33" s="25"/>
      <c r="D33" s="24"/>
      <c r="E33" s="25"/>
      <c r="F33" s="24"/>
    </row>
    <row r="34" customFormat="false" ht="15.75" hidden="false" customHeight="true" outlineLevel="0" collapsed="false">
      <c r="A34" s="24"/>
      <c r="B34" s="25"/>
      <c r="C34" s="25"/>
      <c r="D34" s="24"/>
      <c r="E34" s="25"/>
      <c r="F34" s="24"/>
    </row>
    <row r="35" customFormat="false" ht="15.75" hidden="false" customHeight="true" outlineLevel="0" collapsed="false">
      <c r="A35" s="24"/>
      <c r="B35" s="25"/>
      <c r="C35" s="25"/>
      <c r="D35" s="24"/>
      <c r="E35" s="25"/>
      <c r="F35" s="24"/>
    </row>
    <row r="36" customFormat="false" ht="15.75" hidden="false" customHeight="true" outlineLevel="0" collapsed="false">
      <c r="A36" s="24"/>
      <c r="B36" s="25"/>
      <c r="C36" s="25"/>
      <c r="D36" s="24"/>
      <c r="E36" s="25"/>
      <c r="F36" s="24"/>
    </row>
    <row r="37" customFormat="false" ht="15.75" hidden="false" customHeight="true" outlineLevel="0" collapsed="false">
      <c r="A37" s="24"/>
      <c r="B37" s="25"/>
      <c r="C37" s="25"/>
      <c r="D37" s="24"/>
      <c r="E37" s="25"/>
      <c r="F37" s="24"/>
    </row>
    <row r="38" customFormat="false" ht="15.75" hidden="false" customHeight="true" outlineLevel="0" collapsed="false">
      <c r="A38" s="24"/>
      <c r="B38" s="25"/>
      <c r="C38" s="25"/>
      <c r="D38" s="24"/>
      <c r="E38" s="25"/>
      <c r="F38" s="24"/>
    </row>
    <row r="39" customFormat="false" ht="15.75" hidden="false" customHeight="true" outlineLevel="0" collapsed="false">
      <c r="A39" s="24"/>
      <c r="B39" s="25"/>
      <c r="C39" s="25"/>
      <c r="D39" s="24"/>
      <c r="E39" s="25"/>
      <c r="F39" s="24"/>
    </row>
    <row r="40" customFormat="false" ht="15.75" hidden="false" customHeight="true" outlineLevel="0" collapsed="false">
      <c r="A40" s="24"/>
      <c r="B40" s="25"/>
      <c r="C40" s="25"/>
      <c r="D40" s="24"/>
      <c r="E40" s="25"/>
      <c r="F40" s="24"/>
    </row>
    <row r="41" customFormat="false" ht="15.75" hidden="false" customHeight="true" outlineLevel="0" collapsed="false">
      <c r="A41" s="24"/>
      <c r="B41" s="25"/>
      <c r="C41" s="25"/>
      <c r="D41" s="24"/>
      <c r="E41" s="25"/>
      <c r="F41" s="24"/>
    </row>
    <row r="42" customFormat="false" ht="15.75" hidden="false" customHeight="true" outlineLevel="0" collapsed="false">
      <c r="A42" s="24"/>
      <c r="B42" s="25"/>
      <c r="C42" s="25"/>
      <c r="D42" s="24"/>
      <c r="E42" s="25"/>
      <c r="F42" s="24"/>
    </row>
    <row r="43" customFormat="false" ht="15.75" hidden="false" customHeight="true" outlineLevel="0" collapsed="false">
      <c r="A43" s="24"/>
      <c r="B43" s="25"/>
      <c r="C43" s="25"/>
      <c r="D43" s="24"/>
      <c r="E43" s="25"/>
      <c r="F43" s="24"/>
    </row>
    <row r="44" customFormat="false" ht="15.75" hidden="false" customHeight="true" outlineLevel="0" collapsed="false">
      <c r="A44" s="24"/>
      <c r="B44" s="25"/>
      <c r="C44" s="25"/>
      <c r="D44" s="24"/>
      <c r="E44" s="25"/>
      <c r="F44" s="24"/>
    </row>
    <row r="45" customFormat="false" ht="15.75" hidden="false" customHeight="true" outlineLevel="0" collapsed="false">
      <c r="A45" s="24"/>
      <c r="B45" s="25"/>
      <c r="C45" s="25"/>
      <c r="D45" s="24"/>
      <c r="E45" s="25"/>
      <c r="F45" s="24"/>
    </row>
    <row r="46" customFormat="false" ht="21.75" hidden="false" customHeight="true" outlineLevel="0" collapsed="false">
      <c r="A46" s="53" t="s">
        <v>194</v>
      </c>
      <c r="B46" s="31" t="str">
        <f aca="false">IF(COUNTA(B6:B45)=0,"",COUNTA(B6:B45))</f>
        <v/>
      </c>
      <c r="C46" s="53" t="s">
        <v>195</v>
      </c>
      <c r="D46" s="31" t="str">
        <f aca="false">IF(SUM(D6:D45)=0,"",SUM(D6:D45))</f>
        <v/>
      </c>
      <c r="E46" s="53"/>
      <c r="F46" s="5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46"/>
    <col collapsed="false" customWidth="true" hidden="false" outlineLevel="0" max="4" min="4" style="1" width="40"/>
  </cols>
  <sheetData>
    <row r="1" customFormat="false" ht="24" hidden="false" customHeight="true" outlineLevel="0" collapsed="false">
      <c r="A1" s="11" t="s">
        <v>196</v>
      </c>
      <c r="B1" s="11"/>
      <c r="C1" s="11"/>
      <c r="D1" s="11"/>
    </row>
    <row r="2" customFormat="false" ht="30" hidden="false" customHeight="true" outlineLevel="0" collapsed="false">
      <c r="A2" s="12" t="s">
        <v>197</v>
      </c>
      <c r="B2" s="12"/>
      <c r="C2" s="12"/>
      <c r="D2" s="12"/>
    </row>
    <row r="4" customFormat="false" ht="30" hidden="false" customHeight="true" outlineLevel="0" collapsed="false">
      <c r="A4" s="13" t="s">
        <v>198</v>
      </c>
      <c r="B4" s="13" t="s">
        <v>199</v>
      </c>
      <c r="C4" s="13" t="s">
        <v>200</v>
      </c>
      <c r="D4" s="13" t="s">
        <v>201</v>
      </c>
    </row>
    <row r="5" customFormat="false" ht="30" hidden="false" customHeight="true" outlineLevel="0" collapsed="false">
      <c r="A5" s="23" t="s">
        <v>99</v>
      </c>
      <c r="B5" s="9" t="s">
        <v>202</v>
      </c>
      <c r="C5" s="25"/>
      <c r="D5" s="54" t="s">
        <v>203</v>
      </c>
    </row>
    <row r="6" customFormat="false" ht="30" hidden="false" customHeight="true" outlineLevel="0" collapsed="false">
      <c r="A6" s="23" t="s">
        <v>99</v>
      </c>
      <c r="B6" s="9" t="s">
        <v>204</v>
      </c>
      <c r="C6" s="25"/>
      <c r="D6" s="54" t="s">
        <v>205</v>
      </c>
    </row>
    <row r="7" customFormat="false" ht="30" hidden="false" customHeight="true" outlineLevel="0" collapsed="false">
      <c r="A7" s="23" t="s">
        <v>99</v>
      </c>
      <c r="B7" s="9" t="s">
        <v>206</v>
      </c>
      <c r="C7" s="25"/>
      <c r="D7" s="54" t="s">
        <v>207</v>
      </c>
    </row>
    <row r="8" customFormat="false" ht="30" hidden="false" customHeight="true" outlineLevel="0" collapsed="false">
      <c r="A8" s="23" t="s">
        <v>99</v>
      </c>
      <c r="B8" s="9" t="s">
        <v>208</v>
      </c>
      <c r="C8" s="25"/>
      <c r="D8" s="54" t="s">
        <v>209</v>
      </c>
    </row>
    <row r="9" customFormat="false" ht="30" hidden="false" customHeight="true" outlineLevel="0" collapsed="false">
      <c r="A9" s="23" t="s">
        <v>99</v>
      </c>
      <c r="B9" s="9" t="s">
        <v>210</v>
      </c>
      <c r="C9" s="25"/>
      <c r="D9" s="54" t="s">
        <v>211</v>
      </c>
    </row>
    <row r="10" customFormat="false" ht="30" hidden="false" customHeight="true" outlineLevel="0" collapsed="false">
      <c r="A10" s="23" t="s">
        <v>8</v>
      </c>
      <c r="B10" s="9" t="s">
        <v>212</v>
      </c>
      <c r="C10" s="25"/>
      <c r="D10" s="54" t="s">
        <v>213</v>
      </c>
    </row>
    <row r="11" customFormat="false" ht="30" hidden="false" customHeight="true" outlineLevel="0" collapsed="false">
      <c r="A11" s="23" t="s">
        <v>8</v>
      </c>
      <c r="B11" s="9" t="s">
        <v>214</v>
      </c>
      <c r="C11" s="25"/>
      <c r="D11" s="54" t="s">
        <v>215</v>
      </c>
    </row>
    <row r="12" customFormat="false" ht="30" hidden="false" customHeight="true" outlineLevel="0" collapsed="false">
      <c r="A12" s="23" t="s">
        <v>8</v>
      </c>
      <c r="B12" s="9" t="s">
        <v>216</v>
      </c>
      <c r="C12" s="25"/>
      <c r="D12" s="54" t="s">
        <v>217</v>
      </c>
    </row>
    <row r="13" customFormat="false" ht="30" hidden="false" customHeight="true" outlineLevel="0" collapsed="false">
      <c r="A13" s="23" t="s">
        <v>8</v>
      </c>
      <c r="B13" s="9" t="s">
        <v>218</v>
      </c>
      <c r="C13" s="25"/>
      <c r="D13" s="54" t="s">
        <v>219</v>
      </c>
    </row>
    <row r="14" customFormat="false" ht="30" hidden="false" customHeight="true" outlineLevel="0" collapsed="false">
      <c r="A14" s="23" t="s">
        <v>8</v>
      </c>
      <c r="B14" s="9" t="s">
        <v>220</v>
      </c>
      <c r="C14" s="25"/>
      <c r="D14" s="54" t="s">
        <v>221</v>
      </c>
    </row>
    <row r="15" customFormat="false" ht="30" hidden="false" customHeight="true" outlineLevel="0" collapsed="false">
      <c r="A15" s="23" t="s">
        <v>177</v>
      </c>
      <c r="B15" s="9" t="s">
        <v>222</v>
      </c>
      <c r="C15" s="25"/>
      <c r="D15" s="54" t="s">
        <v>223</v>
      </c>
    </row>
    <row r="16" customFormat="false" ht="30" hidden="false" customHeight="true" outlineLevel="0" collapsed="false">
      <c r="A16" s="23" t="s">
        <v>224</v>
      </c>
      <c r="B16" s="9" t="s">
        <v>225</v>
      </c>
      <c r="C16" s="25"/>
      <c r="D16" s="54" t="s">
        <v>226</v>
      </c>
    </row>
    <row r="17" customFormat="false" ht="30" hidden="false" customHeight="true" outlineLevel="0" collapsed="false">
      <c r="A17" s="23" t="s">
        <v>227</v>
      </c>
      <c r="B17" s="9" t="s">
        <v>228</v>
      </c>
      <c r="C17" s="25"/>
      <c r="D17" s="54" t="s">
        <v>229</v>
      </c>
    </row>
    <row r="18" customFormat="false" ht="30" hidden="false" customHeight="true" outlineLevel="0" collapsed="false">
      <c r="A18" s="23" t="s">
        <v>230</v>
      </c>
      <c r="B18" s="9" t="s">
        <v>231</v>
      </c>
      <c r="C18" s="25"/>
      <c r="D18" s="54" t="s">
        <v>232</v>
      </c>
    </row>
    <row r="19" customFormat="false" ht="30" hidden="false" customHeight="true" outlineLevel="0" collapsed="false">
      <c r="A19" s="23" t="s">
        <v>230</v>
      </c>
      <c r="B19" s="9" t="s">
        <v>233</v>
      </c>
      <c r="C19" s="25"/>
      <c r="D19" s="54" t="s">
        <v>234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1"/>
  </cols>
  <sheetData>
    <row r="1" customFormat="false" ht="24" hidden="false" customHeight="true" outlineLevel="0" collapsed="false">
      <c r="A1" s="11" t="s">
        <v>235</v>
      </c>
      <c r="B1" s="11"/>
      <c r="C1" s="11"/>
      <c r="D1" s="11"/>
      <c r="E1" s="11"/>
      <c r="F1" s="11"/>
      <c r="G1" s="11"/>
    </row>
    <row r="2" customFormat="false" ht="30" hidden="false" customHeight="true" outlineLevel="0" collapsed="false">
      <c r="A2" s="12" t="s">
        <v>236</v>
      </c>
      <c r="B2" s="12"/>
      <c r="C2" s="12"/>
      <c r="D2" s="12"/>
      <c r="E2" s="12"/>
      <c r="F2" s="12"/>
      <c r="G2" s="12"/>
    </row>
    <row r="3" customFormat="false" ht="15" hidden="false" customHeight="true" outlineLevel="0" collapsed="false">
      <c r="E3" s="39" t="s">
        <v>237</v>
      </c>
      <c r="G3" s="21" t="n">
        <f aca="false">IF(COUNTA($C$5:$C$20)=0,"",COUNTIF($G$5:$G$20,"Sí")/COUNTA($C$5:$C$20))</f>
        <v>0</v>
      </c>
    </row>
    <row r="4" customFormat="false" ht="30" hidden="false" customHeight="true" outlineLevel="0" collapsed="false">
      <c r="A4" s="13" t="s">
        <v>53</v>
      </c>
      <c r="B4" s="13" t="s">
        <v>238</v>
      </c>
      <c r="C4" s="13" t="s">
        <v>239</v>
      </c>
      <c r="D4" s="13" t="s">
        <v>240</v>
      </c>
      <c r="E4" s="13" t="s">
        <v>58</v>
      </c>
      <c r="F4" s="13" t="s">
        <v>241</v>
      </c>
      <c r="G4" s="13" t="s">
        <v>242</v>
      </c>
    </row>
    <row r="5" customFormat="false" ht="27.75" hidden="false" customHeight="true" outlineLevel="0" collapsed="false">
      <c r="A5" s="22" t="n">
        <v>1</v>
      </c>
      <c r="B5" s="23" t="s">
        <v>243</v>
      </c>
      <c r="C5" s="9" t="s">
        <v>244</v>
      </c>
      <c r="D5" s="16" t="s">
        <v>245</v>
      </c>
      <c r="E5" s="25"/>
      <c r="F5" s="25"/>
      <c r="G5" s="24"/>
    </row>
    <row r="6" customFormat="false" ht="27.75" hidden="false" customHeight="true" outlineLevel="0" collapsed="false">
      <c r="A6" s="22" t="n">
        <v>2</v>
      </c>
      <c r="B6" s="23" t="s">
        <v>243</v>
      </c>
      <c r="C6" s="9" t="s">
        <v>246</v>
      </c>
      <c r="D6" s="16" t="s">
        <v>245</v>
      </c>
      <c r="E6" s="25"/>
      <c r="F6" s="25"/>
      <c r="G6" s="24"/>
    </row>
    <row r="7" customFormat="false" ht="27.75" hidden="false" customHeight="true" outlineLevel="0" collapsed="false">
      <c r="A7" s="22" t="n">
        <v>3</v>
      </c>
      <c r="B7" s="23" t="s">
        <v>243</v>
      </c>
      <c r="C7" s="9" t="s">
        <v>247</v>
      </c>
      <c r="D7" s="16" t="s">
        <v>245</v>
      </c>
      <c r="E7" s="25"/>
      <c r="F7" s="25"/>
      <c r="G7" s="24"/>
    </row>
    <row r="8" customFormat="false" ht="27.75" hidden="false" customHeight="true" outlineLevel="0" collapsed="false">
      <c r="A8" s="22" t="n">
        <v>4</v>
      </c>
      <c r="B8" s="23" t="s">
        <v>243</v>
      </c>
      <c r="C8" s="9" t="s">
        <v>248</v>
      </c>
      <c r="D8" s="16" t="s">
        <v>249</v>
      </c>
      <c r="E8" s="25"/>
      <c r="F8" s="25"/>
      <c r="G8" s="24"/>
    </row>
    <row r="9" customFormat="false" ht="27.75" hidden="false" customHeight="true" outlineLevel="0" collapsed="false">
      <c r="A9" s="22" t="n">
        <v>5</v>
      </c>
      <c r="B9" s="23" t="s">
        <v>243</v>
      </c>
      <c r="C9" s="9" t="s">
        <v>250</v>
      </c>
      <c r="D9" s="16" t="s">
        <v>249</v>
      </c>
      <c r="E9" s="25"/>
      <c r="F9" s="25"/>
      <c r="G9" s="24"/>
    </row>
    <row r="10" customFormat="false" ht="27.75" hidden="false" customHeight="true" outlineLevel="0" collapsed="false">
      <c r="A10" s="22" t="n">
        <v>6</v>
      </c>
      <c r="B10" s="23" t="s">
        <v>243</v>
      </c>
      <c r="C10" s="9" t="s">
        <v>251</v>
      </c>
      <c r="D10" s="16" t="s">
        <v>245</v>
      </c>
      <c r="E10" s="25"/>
      <c r="F10" s="25"/>
      <c r="G10" s="24"/>
    </row>
    <row r="11" customFormat="false" ht="27.75" hidden="false" customHeight="true" outlineLevel="0" collapsed="false">
      <c r="A11" s="22" t="n">
        <v>7</v>
      </c>
      <c r="B11" s="23" t="s">
        <v>243</v>
      </c>
      <c r="C11" s="9" t="s">
        <v>252</v>
      </c>
      <c r="D11" s="16" t="s">
        <v>245</v>
      </c>
      <c r="E11" s="25"/>
      <c r="F11" s="25"/>
      <c r="G11" s="24"/>
    </row>
    <row r="12" customFormat="false" ht="27.75" hidden="false" customHeight="true" outlineLevel="0" collapsed="false">
      <c r="A12" s="22" t="n">
        <v>8</v>
      </c>
      <c r="B12" s="23" t="s">
        <v>243</v>
      </c>
      <c r="C12" s="9" t="s">
        <v>253</v>
      </c>
      <c r="D12" s="16" t="s">
        <v>249</v>
      </c>
      <c r="E12" s="25"/>
      <c r="F12" s="25"/>
      <c r="G12" s="24"/>
    </row>
    <row r="13" customFormat="false" ht="27.75" hidden="false" customHeight="true" outlineLevel="0" collapsed="false">
      <c r="A13" s="22" t="n">
        <v>9</v>
      </c>
      <c r="B13" s="23" t="s">
        <v>254</v>
      </c>
      <c r="C13" s="9" t="s">
        <v>255</v>
      </c>
      <c r="D13" s="16" t="s">
        <v>249</v>
      </c>
      <c r="E13" s="25"/>
      <c r="F13" s="25"/>
      <c r="G13" s="24"/>
    </row>
    <row r="14" customFormat="false" ht="27.75" hidden="false" customHeight="true" outlineLevel="0" collapsed="false">
      <c r="A14" s="22" t="n">
        <v>10</v>
      </c>
      <c r="B14" s="23" t="s">
        <v>254</v>
      </c>
      <c r="C14" s="9" t="s">
        <v>256</v>
      </c>
      <c r="D14" s="16" t="s">
        <v>249</v>
      </c>
      <c r="E14" s="25"/>
      <c r="F14" s="25"/>
      <c r="G14" s="24"/>
    </row>
    <row r="15" customFormat="false" ht="27.75" hidden="false" customHeight="true" outlineLevel="0" collapsed="false">
      <c r="A15" s="22" t="n">
        <v>11</v>
      </c>
      <c r="B15" s="23" t="s">
        <v>254</v>
      </c>
      <c r="C15" s="9" t="s">
        <v>257</v>
      </c>
      <c r="D15" s="16" t="s">
        <v>249</v>
      </c>
      <c r="E15" s="25"/>
      <c r="F15" s="25"/>
      <c r="G15" s="24"/>
    </row>
    <row r="16" customFormat="false" ht="27.75" hidden="false" customHeight="true" outlineLevel="0" collapsed="false">
      <c r="A16" s="22" t="n">
        <v>12</v>
      </c>
      <c r="B16" s="23" t="s">
        <v>258</v>
      </c>
      <c r="C16" s="9" t="s">
        <v>259</v>
      </c>
      <c r="D16" s="16" t="s">
        <v>249</v>
      </c>
      <c r="E16" s="25"/>
      <c r="F16" s="25"/>
      <c r="G16" s="24"/>
    </row>
    <row r="17" customFormat="false" ht="27.75" hidden="false" customHeight="true" outlineLevel="0" collapsed="false">
      <c r="A17" s="22" t="n">
        <v>13</v>
      </c>
      <c r="B17" s="23" t="s">
        <v>258</v>
      </c>
      <c r="C17" s="9" t="s">
        <v>260</v>
      </c>
      <c r="D17" s="16" t="s">
        <v>245</v>
      </c>
      <c r="E17" s="25"/>
      <c r="F17" s="25"/>
      <c r="G17" s="24"/>
    </row>
    <row r="18" customFormat="false" ht="27.75" hidden="false" customHeight="true" outlineLevel="0" collapsed="false">
      <c r="A18" s="22" t="n">
        <v>14</v>
      </c>
      <c r="B18" s="23" t="s">
        <v>258</v>
      </c>
      <c r="C18" s="9" t="s">
        <v>261</v>
      </c>
      <c r="D18" s="16" t="s">
        <v>249</v>
      </c>
      <c r="E18" s="25"/>
      <c r="F18" s="25"/>
      <c r="G18" s="24"/>
    </row>
    <row r="19" customFormat="false" ht="27.75" hidden="false" customHeight="true" outlineLevel="0" collapsed="false">
      <c r="A19" s="22" t="n">
        <v>15</v>
      </c>
      <c r="B19" s="23" t="s">
        <v>262</v>
      </c>
      <c r="C19" s="9" t="s">
        <v>263</v>
      </c>
      <c r="D19" s="16" t="s">
        <v>264</v>
      </c>
      <c r="E19" s="25"/>
      <c r="F19" s="25"/>
      <c r="G19" s="24"/>
    </row>
    <row r="20" customFormat="false" ht="27.75" hidden="false" customHeight="true" outlineLevel="0" collapsed="false">
      <c r="A20" s="22" t="n">
        <v>16</v>
      </c>
      <c r="B20" s="23" t="s">
        <v>265</v>
      </c>
      <c r="C20" s="9" t="s">
        <v>266</v>
      </c>
      <c r="D20" s="16" t="s">
        <v>249</v>
      </c>
      <c r="E20" s="25"/>
      <c r="F20" s="25"/>
      <c r="G20" s="24"/>
    </row>
    <row r="22" customFormat="false" ht="15" hidden="false" customHeight="true" outlineLevel="0" collapsed="false">
      <c r="A22" s="10" t="s">
        <v>267</v>
      </c>
      <c r="B22" s="10"/>
      <c r="C22" s="10"/>
      <c r="D22" s="10"/>
      <c r="E22" s="10"/>
      <c r="F22" s="10"/>
      <c r="G22" s="10"/>
    </row>
    <row r="23" customFormat="false" ht="15" hidden="false" customHeight="true" outlineLevel="0" collapsed="false">
      <c r="A23" s="10"/>
      <c r="B23" s="10"/>
      <c r="C23" s="10"/>
      <c r="D23" s="10"/>
      <c r="E23" s="10"/>
      <c r="F23" s="10"/>
      <c r="G23" s="10"/>
    </row>
    <row r="24" customFormat="false" ht="15" hidden="false" customHeight="true" outlineLevel="0" collapsed="false">
      <c r="A24" s="10"/>
      <c r="B24" s="10"/>
      <c r="C24" s="10"/>
      <c r="D24" s="10"/>
      <c r="E24" s="10"/>
      <c r="F24" s="10"/>
      <c r="G24" s="10"/>
    </row>
  </sheetData>
  <mergeCells count="3">
    <mergeCell ref="A1:G1"/>
    <mergeCell ref="A2:G2"/>
    <mergeCell ref="A22:G24"/>
  </mergeCells>
  <conditionalFormatting sqref="G5:G20">
    <cfRule type="cellIs" priority="2" operator="equal" aboveAverage="0" equalAverage="0" bottom="0" percent="0" rank="0" text="" dxfId="0">
      <formula>"Sí"</formula>
    </cfRule>
  </conditionalFormatting>
  <dataValidations count="1">
    <dataValidation allowBlank="true" error="Selecciona Sí o No" errorStyle="stop" errorTitle="Valor no válido" operator="between" showDropDown="false" showErrorMessage="false" showInputMessage="false" sqref="G5:G2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2026-08-24T11:13:35Z</dcterms:created>
  <dc:creator>openpyxl</dc:creator>
  <dc:description/>
  <dc:language>en-US</dc:language>
  <cp:lastModifiedBy/>
  <dcterms:modified xsi:type="dcterms:W3CDTF">2026-08-24T11:26:03Z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