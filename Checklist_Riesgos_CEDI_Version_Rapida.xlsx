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Ficha y uso" sheetId="1" state="visible" r:id="rId1"/>
    <sheet name="2. Matriz rápida" sheetId="2" state="visible" r:id="rId2"/>
    <sheet name="3. Escalas" sheetId="3" state="visible" r:id="rId3"/>
    <sheet name="4. Plan de acción" sheetId="4" state="visible" r:id="rId4"/>
    <sheet name="5. Referencias" sheetId="5" state="visible" r:id="rId5"/>
    <sheet name="6. Resumen" sheetId="6" state="visible" r:id="rId6"/>
  </sheets>
  <definedNames>
    <definedName name="_xlnm._FilterDatabase" localSheetId="1" hidden="1">'2. Matriz rápida'!$A$4:$P$66</definedName>
    <definedName name="_xlnm.Print_Titles" localSheetId="1">'2. Matriz rápida'!$4:$4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0">
    <font>
      <name val="Calibri"/>
      <family val="2"/>
      <color theme="1"/>
      <sz val="11"/>
      <scheme val="minor"/>
    </font>
    <font>
      <name val="Calibri"/>
      <b val="1"/>
      <color rgb="001F3864"/>
      <sz val="17"/>
    </font>
    <font>
      <name val="Calibri"/>
      <i val="1"/>
      <color rgb="00595959"/>
      <sz val="10"/>
    </font>
    <font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b val="1"/>
      <color rgb="009C0006"/>
      <sz val="10"/>
    </font>
    <font>
      <b val="1"/>
      <color rgb="00974706"/>
      <sz val="10"/>
    </font>
    <font>
      <b val="1"/>
      <color rgb="009C6500"/>
      <sz val="10"/>
    </font>
    <font>
      <b val="1"/>
      <color rgb="00006100"/>
      <sz val="10"/>
    </font>
    <font>
      <b val="1"/>
      <color rgb="003F3F3F"/>
      <sz val="10"/>
    </font>
    <font>
      <b val="1"/>
      <color rgb="00006100"/>
      <sz val="11"/>
    </font>
    <font>
      <b val="1"/>
      <color rgb="009C6500"/>
      <sz val="11"/>
    </font>
    <font>
      <b val="1"/>
      <color rgb="00974706"/>
      <sz val="11"/>
    </font>
    <font>
      <b val="1"/>
      <color rgb="009C0006"/>
      <sz val="11"/>
    </font>
    <font>
      <b val="1"/>
      <color rgb="003F3F3F"/>
      <sz val="11"/>
    </font>
    <font>
      <name val="Calibri"/>
      <color rgb="00595959"/>
      <sz val="9"/>
    </font>
    <font>
      <b val="1"/>
      <color rgb="001F3864"/>
      <sz val="12"/>
    </font>
    <font>
      <b val="1"/>
      <color rgb="009C0006"/>
      <sz val="12"/>
    </font>
  </fonts>
  <fills count="2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FCD5B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BE5D6"/>
      </patternFill>
    </fill>
    <fill>
      <patternFill patternType="solid">
        <fgColor rgb="00E2F0D9"/>
      </patternFill>
    </fill>
    <fill>
      <patternFill patternType="solid">
        <fgColor rgb="00FFF7DC"/>
      </patternFill>
    </fill>
    <fill>
      <patternFill patternType="solid">
        <fgColor rgb="00F2F2F2"/>
      </patternFill>
    </fill>
    <fill>
      <patternFill patternType="solid">
        <fgColor rgb="00EAE1F2"/>
      </patternFill>
    </fill>
    <fill>
      <patternFill patternType="solid">
        <fgColor rgb="00DEEAF6"/>
      </patternFill>
    </fill>
    <fill>
      <patternFill patternType="solid">
        <fgColor rgb="00FDE9D9"/>
      </patternFill>
    </fill>
    <fill>
      <patternFill patternType="solid">
        <fgColor rgb="00E9F2E1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  <border>
      <left/>
      <right/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top" wrapText="1"/>
    </xf>
    <xf numFmtId="0" fontId="17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left" vertical="top" wrapText="1"/>
    </xf>
    <xf numFmtId="0" fontId="5" fillId="13" borderId="1" applyAlignment="1" pivotButton="0" quotePrefix="0" xfId="0">
      <alignment horizontal="left" vertical="top" wrapText="1"/>
    </xf>
    <xf numFmtId="0" fontId="5" fillId="14" borderId="1" applyAlignment="1" pivotButton="0" quotePrefix="0" xfId="0">
      <alignment horizontal="left" vertical="top" wrapText="1"/>
    </xf>
    <xf numFmtId="0" fontId="5" fillId="15" borderId="1" applyAlignment="1" pivotButton="0" quotePrefix="0" xfId="0">
      <alignment horizontal="left" vertical="top" wrapText="1"/>
    </xf>
    <xf numFmtId="0" fontId="5" fillId="16" borderId="1" applyAlignment="1" pivotButton="0" quotePrefix="0" xfId="0">
      <alignment horizontal="left" vertical="top" wrapText="1"/>
    </xf>
    <xf numFmtId="0" fontId="5" fillId="17" borderId="1" applyAlignment="1" pivotButton="0" quotePrefix="0" xfId="0">
      <alignment horizontal="left" vertical="top" wrapText="1"/>
    </xf>
    <xf numFmtId="0" fontId="5" fillId="18" borderId="1" applyAlignment="1" pivotButton="0" quotePrefix="0" xfId="0">
      <alignment horizontal="left" vertical="top" wrapText="1"/>
    </xf>
    <xf numFmtId="0" fontId="5" fillId="19" borderId="1" applyAlignment="1" pivotButton="0" quotePrefix="0" xfId="0">
      <alignment horizontal="left" vertical="top" wrapText="1"/>
    </xf>
    <xf numFmtId="0" fontId="5" fillId="20" borderId="1" applyAlignment="1" pivotButton="0" quotePrefix="0" xfId="0">
      <alignment horizontal="left" vertical="top" wrapText="1"/>
    </xf>
    <xf numFmtId="0" fontId="5" fillId="21" borderId="1" applyAlignment="1" pivotButton="0" quotePrefix="0" xfId="0">
      <alignment horizontal="left" vertical="top" wrapText="1"/>
    </xf>
    <xf numFmtId="0" fontId="5" fillId="22" borderId="1" applyAlignment="1" pivotButton="0" quotePrefix="0" xfId="0">
      <alignment horizontal="left" vertical="top" wrapText="1"/>
    </xf>
    <xf numFmtId="0" fontId="5" fillId="2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7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0" fillId="0" borderId="5" pivotButton="0" quotePrefix="0" xfId="0"/>
    <xf numFmtId="9" fontId="5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4" fillId="24" borderId="1" pivotButton="0" quotePrefix="0" xfId="0"/>
    <xf numFmtId="0" fontId="4" fillId="24" borderId="1" applyAlignment="1" pivotButton="0" quotePrefix="0" xfId="0">
      <alignment horizontal="center" vertical="center" wrapText="1"/>
    </xf>
    <xf numFmtId="0" fontId="0" fillId="24" borderId="1" pivotButton="0" quotePrefix="0" xfId="0"/>
    <xf numFmtId="165" fontId="18" fillId="24" borderId="1" applyAlignment="1" pivotButton="0" quotePrefix="0" xfId="0">
      <alignment horizontal="center" vertical="center" wrapText="1"/>
    </xf>
    <xf numFmtId="0" fontId="17" fillId="24" borderId="1" pivotButton="0" quotePrefix="0" xfId="0"/>
    <xf numFmtId="0" fontId="19" fillId="24" borderId="1" applyAlignment="1" pivotButton="0" quotePrefix="0" xfId="0">
      <alignment horizontal="center" vertical="center" wrapText="1"/>
    </xf>
    <xf numFmtId="0" fontId="17" fillId="24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6">
    <dxf>
      <font>
        <b val="1"/>
        <color rgb="FF9C0006"/>
      </font>
      <fill>
        <patternFill>
          <bgColor rgb="FFFFC7CE"/>
        </patternFill>
      </fill>
    </dxf>
    <dxf>
      <font>
        <b val="1"/>
        <color rgb="FF974706"/>
      </font>
      <fill>
        <patternFill>
          <bgColor rgb="FFFCD5B4"/>
        </patternFill>
      </fill>
    </dxf>
    <dxf>
      <font>
        <b val="1"/>
        <color rgb="FF9C6500"/>
      </font>
      <fill>
        <patternFill>
          <bgColor rgb="FFFFEB9C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E7E6E6"/>
        </patternFill>
      </fill>
    </dxf>
    <dxf>
      <font>
        <b val="1"/>
        <color rgb="FF1F3864"/>
      </font>
      <fill>
        <patternFill>
          <b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2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28" customWidth="1" min="3" max="3"/>
    <col width="62" customWidth="1" min="4" max="4"/>
  </cols>
  <sheetData>
    <row r="2">
      <c r="B2" s="1" t="inlineStr">
        <is>
          <t>CHECKLIST DE RIESGOS — CENTRO DE DISTRIBUCIÓN · VERSIÓN RÁPIDA</t>
        </is>
      </c>
    </row>
    <row r="3">
      <c r="B3" s="2" t="inlineStr">
        <is>
          <t>62 riesgos consolidados. Usted califica Probabilidad e Impacto; el archivo calcula el nivel y cada cuánto revisar.</t>
        </is>
      </c>
    </row>
    <row r="5" ht="20" customHeight="1">
      <c r="A5" s="3" t="inlineStr">
        <is>
          <t xml:space="preserve">  CÓMO SE DILIGENCIA — 4 PASOS</t>
        </is>
      </c>
    </row>
    <row r="6" ht="37.5" customHeight="1">
      <c r="B6" s="4" t="inlineStr">
        <is>
          <t>PASO 1</t>
        </is>
      </c>
      <c r="C6" s="5" t="inlineStr">
        <is>
          <t>Complete la ficha de abajo (10 minutos). Sin caracterizar no se puede calificar: el mismo riesgo no vale igual en una bodega de 5.000 m² que en una de 40.000 m² en zona sísmica.</t>
        </is>
      </c>
      <c r="D6" s="6" t="n"/>
    </row>
    <row r="7" ht="37.5" customHeight="1">
      <c r="B7" s="4" t="inlineStr">
        <is>
          <t>PASO 2</t>
        </is>
      </c>
      <c r="C7" s="5" t="inlineStr">
        <is>
          <t>Recorra el CEDI con la hoja '2. Matriz rápida'. Cada fila arranca con el tema en MAYÚSCULA; siguen los puntos a verificar y la evidencia que debe pedir. Marque Cumple: Sí / Parcial / No / N.A.</t>
        </is>
      </c>
      <c r="D7" s="6" t="n"/>
    </row>
    <row r="8" ht="30" customHeight="1">
      <c r="B8" s="4" t="inlineStr">
        <is>
          <t>PASO 3</t>
        </is>
      </c>
      <c r="C8" s="5" t="inlineStr">
        <is>
          <t>Ajuste P e I con lo que vio. P×I, Nivel y Frecuencia mínima se calculan solos. Compárela con la columna de frecuencia técnica: manda SIEMPRE la más exigente de las dos.</t>
        </is>
      </c>
      <c r="D8" s="6" t="n"/>
    </row>
    <row r="9" ht="30" customHeight="1">
      <c r="B9" s="4" t="inlineStr">
        <is>
          <t>PASO 4</t>
        </is>
      </c>
      <c r="C9" s="5" t="inlineStr">
        <is>
          <t>Todo 'No' o 'Parcial' pasa a la hoja '4. Plan de acción'. El plazo lo fija el nivel: Extremo ≤ 15 días · Alto ≤ 30 · Medio ≤ 90.</t>
        </is>
      </c>
      <c r="D9" s="6" t="n"/>
    </row>
    <row r="11" ht="20" customHeight="1">
      <c r="A11" s="3" t="inlineStr">
        <is>
          <t xml:space="preserve">  FICHA DEL CENTRO DE DISTRIBUCIÓN — 20 VARIABLES QUE MODIFICAN LA CALIFICACIÓN</t>
        </is>
      </c>
    </row>
    <row r="12" ht="24" customHeight="1">
      <c r="A12" s="7" t="inlineStr"/>
      <c r="B12" s="7" t="inlineStr">
        <is>
          <t>Variable</t>
        </is>
      </c>
      <c r="C12" s="7" t="inlineStr">
        <is>
          <t>Valor</t>
        </is>
      </c>
      <c r="D12" s="7" t="inlineStr">
        <is>
          <t>Por qué importa</t>
        </is>
      </c>
    </row>
    <row r="13" ht="26" customHeight="1">
      <c r="A13" s="8" t="n">
        <v>1</v>
      </c>
      <c r="B13" s="5" t="inlineStr">
        <is>
          <t>Nombre / ciudad del CEDI y año de construcción</t>
        </is>
      </c>
      <c r="C13" s="9" t="n"/>
      <c r="D13" s="5" t="inlineStr">
        <is>
          <t>Marco legal, amenaza del sitio y código de construcción aplicable</t>
        </is>
      </c>
    </row>
    <row r="14" ht="26" customHeight="1">
      <c r="A14" s="8" t="n">
        <v>2</v>
      </c>
      <c r="B14" s="5" t="inlineStr">
        <is>
          <t>Tenencia: propio / arrendado / operado por 3PL</t>
        </is>
      </c>
      <c r="C14" s="9" t="n"/>
      <c r="D14" s="5" t="inlineStr">
        <is>
          <t>Define quién responde por la infraestructura y qué se puede modificar</t>
        </is>
      </c>
    </row>
    <row r="15" ht="26" customHeight="1">
      <c r="A15" s="8" t="n">
        <v>3</v>
      </c>
      <c r="B15" s="5" t="inlineStr">
        <is>
          <t>Turnos y días de operación</t>
        </is>
      </c>
      <c r="C15" s="9" t="n"/>
      <c r="D15" s="5" t="inlineStr">
        <is>
          <t>Más horas de operación = más exposición y necesidad de brigada por turno</t>
        </is>
      </c>
    </row>
    <row r="16" ht="26" customHeight="1">
      <c r="A16" s="8" t="n">
        <v>4</v>
      </c>
      <c r="B16" s="5" t="inlineStr">
        <is>
          <t>Personas: directas / temporales / contratistas</t>
        </is>
      </c>
      <c r="C16" s="9" t="n"/>
      <c r="D16" s="5" t="inlineStr">
        <is>
          <t>Magnitud de la consecuencia humana y carga de inducción</t>
        </is>
      </c>
    </row>
    <row r="17" ht="26" customHeight="1">
      <c r="A17" s="8" t="n">
        <v>5</v>
      </c>
      <c r="B17" s="5" t="inlineStr">
        <is>
          <t>Área cubierta, número de sectores y altura máxima de almacenamiento</t>
        </is>
      </c>
      <c r="C17" s="9" t="n"/>
      <c r="D17" s="5" t="inlineStr">
        <is>
          <t>Pérdida máxima probable; sobre 7,6 m cambian los criterios de incendio</t>
        </is>
      </c>
    </row>
    <row r="18" ht="26" customHeight="1">
      <c r="A18" s="8" t="n">
        <v>6</v>
      </c>
      <c r="B18" s="5" t="inlineStr">
        <is>
          <t>Capacidad portante y planitud del piso (con fecha de medición)</t>
        </is>
      </c>
      <c r="C18" s="9" t="n"/>
      <c r="D18" s="5" t="inlineStr">
        <is>
          <t>Restringe la carga de montantes y define si el piso admite la altura de elevación</t>
        </is>
      </c>
    </row>
    <row r="19" ht="26" customHeight="1">
      <c r="A19" s="8" t="n">
        <v>7</v>
      </c>
      <c r="B19" s="5" t="inlineStr">
        <is>
          <t>¿Sectorización cortafuego? Zonas especiales (frío, jaula, MERPEL, mezanine)</t>
        </is>
      </c>
      <c r="C19" s="9" t="n"/>
      <c r="D19" s="5" t="inlineStr">
        <is>
          <t>La compartimentación evita la pérdida total; cada zona añade riesgos propios</t>
        </is>
      </c>
    </row>
    <row r="20" ht="26" customHeight="1">
      <c r="A20" s="8" t="n">
        <v>8</v>
      </c>
      <c r="B20" s="5" t="inlineStr">
        <is>
          <t>Posiciones de estiba y % de ocupación promedio y pico</t>
        </is>
      </c>
      <c r="C20" s="9" t="n"/>
      <c r="D20" s="5" t="inlineStr">
        <is>
          <t>Sobre el 85-90% aparecen bloqueos, almacenamiento improvisado y accidentes</t>
        </is>
      </c>
    </row>
    <row r="21" ht="26" customHeight="1">
      <c r="A21" s="8" t="n">
        <v>9</v>
      </c>
      <c r="B21" s="5" t="inlineStr">
        <is>
          <t>Unidades o pallets movidos por día y estacionalidad</t>
        </is>
      </c>
      <c r="C21" s="9" t="n"/>
      <c r="D21" s="5" t="inlineStr">
        <is>
          <t>Exposición operativa y momento de mayor accidentalidad</t>
        </is>
      </c>
    </row>
    <row r="22" ht="26" customHeight="1">
      <c r="A22" s="8" t="n">
        <v>10</v>
      </c>
      <c r="B22" s="5" t="inlineStr">
        <is>
          <t>Familias de producto y clasificación para incendio (plásticos, aerosoles, litio)</t>
        </is>
      </c>
      <c r="C22" s="9" t="n"/>
      <c r="D22" s="5" t="inlineStr">
        <is>
          <t>Determina si el sistema de rociadores instalado sigue siendo válido</t>
        </is>
      </c>
    </row>
    <row r="23" ht="26" customHeight="1">
      <c r="A23" s="8" t="n">
        <v>11</v>
      </c>
      <c r="B23" s="5" t="inlineStr">
        <is>
          <t>¿Cadena de frío? ¿Mercancías peligrosas? ¿Alto valor? ¿Producto regulado?</t>
        </is>
      </c>
      <c r="C23" s="9" t="n"/>
      <c r="D23" s="5" t="inlineStr">
        <is>
          <t>Cada una activa riesgos sanitarios, de segregación o de hurto</t>
        </is>
      </c>
    </row>
    <row r="24" ht="26" customHeight="1">
      <c r="A24" s="8" t="n">
        <v>12</v>
      </c>
      <c r="B24" s="5" t="inlineStr">
        <is>
          <t>Tipo de estantería, altura y ancho de pasillo</t>
        </is>
      </c>
      <c r="C24" s="9" t="n"/>
      <c r="D24" s="5" t="inlineStr">
        <is>
          <t>Define modos de falla y probabilidad de impacto contra montantes</t>
        </is>
      </c>
    </row>
    <row r="25" ht="26" customHeight="1">
      <c r="A25" s="8" t="n">
        <v>13</v>
      </c>
      <c r="B25" s="5" t="inlineStr">
        <is>
          <t>¿PRRS designado? Fecha de la última inspección experta y daños rojo / ámbar</t>
        </is>
      </c>
      <c r="C25" s="9" t="n"/>
      <c r="D25" s="5" t="inlineStr">
        <is>
          <t>Si supera 12 meses o hay daños rojos abiertos, el riesgo de colapso sube</t>
        </is>
      </c>
    </row>
    <row r="26" ht="26" customHeight="1">
      <c r="A26" s="8" t="n">
        <v>14</v>
      </c>
      <c r="B26" s="5" t="inlineStr">
        <is>
          <t>Equipos: cantidad, tipo, energía y operadores certificados</t>
        </is>
      </c>
      <c r="C26" s="9" t="n"/>
      <c r="D26" s="5" t="inlineStr">
        <is>
          <t>Perfil de accidentalidad y déficit de operadores autorizados</t>
        </is>
      </c>
    </row>
    <row r="27" ht="26" customHeight="1">
      <c r="A27" s="8" t="n">
        <v>15</v>
      </c>
      <c r="B27" s="5" t="inlineStr">
        <is>
          <t>Muelles: número, tipo y ¿dock lock o calzos?</t>
        </is>
      </c>
      <c r="C27" s="9" t="n"/>
      <c r="D27" s="5" t="inlineStr">
        <is>
          <t>Los muelles concentran los accidentes graves con equipos y camiones</t>
        </is>
      </c>
    </row>
    <row r="28" ht="26" customHeight="1">
      <c r="A28" s="8" t="n">
        <v>16</v>
      </c>
      <c r="B28" s="5" t="inlineStr">
        <is>
          <t>Protección contra incendio: tipo de rociadores, año y última certificación</t>
        </is>
      </c>
      <c r="C28" s="9" t="n"/>
      <c r="D28" s="5" t="inlineStr">
        <is>
          <t>Es el control decisivo entre un conato y la pérdida total</t>
        </is>
      </c>
    </row>
    <row r="29" ht="26" customHeight="1">
      <c r="A29" s="8" t="n">
        <v>17</v>
      </c>
      <c r="B29" s="5" t="inlineStr">
        <is>
          <t>Respaldo de energía y última termografía de tableros</t>
        </is>
      </c>
      <c r="C29" s="9" t="n"/>
      <c r="D29" s="5" t="inlineStr">
        <is>
          <t>Define qué sobrevive a un corte; el fallo eléctrico es causa principal de incendio</t>
        </is>
      </c>
    </row>
    <row r="30" ht="26" customHeight="1">
      <c r="A30" s="8" t="n">
        <v>18</v>
      </c>
      <c r="B30" s="5" t="inlineStr">
        <is>
          <t>Amenaza sísmica, ¿zona inundable? y ¿racks con diseño sísmico?</t>
        </is>
      </c>
      <c r="C30" s="9" t="n"/>
      <c r="D30" s="5" t="inlineStr">
        <is>
          <t>Modifican directamente el riesgo de colapso y de pérdida masiva</t>
        </is>
      </c>
    </row>
    <row r="31" ht="26" customHeight="1">
      <c r="A31" s="8" t="n">
        <v>19</v>
      </c>
      <c r="B31" s="5" t="inlineStr">
        <is>
          <t>Valor del inventario pico vs. valor asegurado y recomendaciones abiertas</t>
        </is>
      </c>
      <c r="C31" s="9" t="n"/>
      <c r="D31" s="5" t="inlineStr">
        <is>
          <t>Define cuánto de la pérdida está realmente transferida</t>
        </is>
      </c>
    </row>
    <row r="32" ht="26" customHeight="1">
      <c r="A32" s="8" t="n">
        <v>20</v>
      </c>
      <c r="B32" s="5" t="inlineStr">
        <is>
          <t>Eventos de los últimos 5 años (incendio, colapso, accidente, hurto, inundación)</t>
        </is>
      </c>
      <c r="C32" s="9" t="n"/>
      <c r="D32" s="5" t="inlineStr">
        <is>
          <t>La frecuencia histórica es el mejor estimador de la probabilidad futura</t>
        </is>
      </c>
    </row>
  </sheetData>
  <mergeCells count="6">
    <mergeCell ref="A5:D5"/>
    <mergeCell ref="C6:D6"/>
    <mergeCell ref="C7:D7"/>
    <mergeCell ref="A11:D11"/>
    <mergeCell ref="C9:D9"/>
    <mergeCell ref="C8:D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P6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9" customWidth="1" min="2" max="2"/>
    <col width="62" customWidth="1" min="3" max="3"/>
    <col width="30" customWidth="1" min="4" max="4"/>
    <col width="28" customWidth="1" min="5" max="5"/>
    <col width="4" customWidth="1" min="6" max="6"/>
    <col width="4" customWidth="1" min="7" max="7"/>
    <col width="6" customWidth="1" min="8" max="8"/>
    <col width="11" customWidth="1" min="9" max="9"/>
    <col width="26" customWidth="1" min="10" max="10"/>
    <col width="32" customWidth="1" min="11" max="11"/>
    <col width="10" customWidth="1" min="12" max="12"/>
    <col width="30" customWidth="1" min="13" max="13"/>
    <col width="16" customWidth="1" min="14" max="14"/>
    <col width="12" customWidth="1" min="15" max="15"/>
    <col width="17" customWidth="1" min="16" max="16"/>
  </cols>
  <sheetData>
    <row r="1">
      <c r="A1" s="1" t="inlineStr">
        <is>
          <t>MATRIZ RÁPIDA DE RIESGOS — 62 PUNTOS DE VERIFICACIÓN</t>
        </is>
      </c>
    </row>
    <row r="2">
      <c r="A2" s="2" t="inlineStr">
        <is>
          <t>Solo se llenan las celdas amarillas: P, I, Cumple, Hallazgo, Responsable y Fecha.  ·  P e I admiten únicamente valores de 1 a 5 (la celda rechaza cualquier otro).  ·  Entre la frecuencia calculada (col. J) y la técnica (col. K) manda la más exigente.</t>
        </is>
      </c>
    </row>
    <row r="4" ht="46" customHeight="1">
      <c r="A4" s="7" t="inlineStr">
        <is>
          <t>ID</t>
        </is>
      </c>
      <c r="B4" s="7" t="inlineStr">
        <is>
          <t>Categoría</t>
        </is>
      </c>
      <c r="C4" s="7" t="inlineStr">
        <is>
          <t>RIESGO Y QUÉ VERIFICAR</t>
        </is>
      </c>
      <c r="D4" s="7" t="inlineStr">
        <is>
          <t>Evidencia o registro que debe existir</t>
        </is>
      </c>
      <c r="E4" s="7" t="inlineStr">
        <is>
          <t>Consecuencia si falla</t>
        </is>
      </c>
      <c r="F4" s="7" t="inlineStr">
        <is>
          <t>P</t>
        </is>
      </c>
      <c r="G4" s="7" t="inlineStr">
        <is>
          <t>I</t>
        </is>
      </c>
      <c r="H4" s="7" t="inlineStr">
        <is>
          <t>P×I</t>
        </is>
      </c>
      <c r="I4" s="7" t="inlineStr">
        <is>
          <t>Nivel</t>
        </is>
      </c>
      <c r="J4" s="7" t="inlineStr">
        <is>
          <t>Frecuencia mínima según el nivel (calculada)</t>
        </is>
      </c>
      <c r="K4" s="7" t="inlineStr">
        <is>
          <t>Frecuencia técnica que exige la norma</t>
        </is>
      </c>
      <c r="L4" s="7" t="inlineStr">
        <is>
          <t>Cumple</t>
        </is>
      </c>
      <c r="M4" s="7" t="inlineStr">
        <is>
          <t>Hallazgo y acción requerida</t>
        </is>
      </c>
      <c r="N4" s="7" t="inlineStr">
        <is>
          <t>Responsable</t>
        </is>
      </c>
      <c r="O4" s="7" t="inlineStr">
        <is>
          <t>Fecha</t>
        </is>
      </c>
      <c r="P4" s="7" t="inlineStr">
        <is>
          <t>Detalle (versión completa)</t>
        </is>
      </c>
    </row>
    <row r="5" ht="48" customHeight="1">
      <c r="A5" s="10" t="inlineStr">
        <is>
          <t>R-01</t>
        </is>
      </c>
      <c r="B5" s="11" t="inlineStr">
        <is>
          <t>A. Edificio y piso</t>
        </is>
      </c>
      <c r="C5" s="5" t="inlineStr">
        <is>
          <t>ESTRUCTURA Y CUBIERTA. Columnas sin impacto ni corrosión y con protectores; canales, bajantes y tragantes limpios antes de lluvias.</t>
        </is>
      </c>
      <c r="D5" s="12" t="inlineStr">
        <is>
          <t>Informe estructural firmado y orden de limpieza de cubierta.</t>
        </is>
      </c>
      <c r="E5" s="5" t="inlineStr">
        <is>
          <t>Colapso estructural; daño masivo de producto por agua</t>
        </is>
      </c>
      <c r="F5" s="13" t="n">
        <v>3</v>
      </c>
      <c r="G5" s="13" t="n">
        <v>4</v>
      </c>
      <c r="H5" s="10">
        <f>IF(OR($F5="",$G5=""),"",$F5*$G5)</f>
        <v>12</v>
      </c>
      <c r="I5" s="10" t="str">
        <f>IF($H5="","",IF($H5&gt;=20,"Extremo",IF($H5&gt;=12,"Alto",IF($H5&gt;=6,"Medio",IF($H5&gt;=3,"Bajo","Muy bajo")))))</f>
        <v>Alto</v>
      </c>
      <c r="J5" s="5" t="str">
        <f>IFERROR(VLOOKUP($I5,'3. Escalas'!$A$21:$C$25,3,FALSE),"")</f>
        <v>Semanal + inspección formal mensual</v>
      </c>
      <c r="K5" s="12" t="inlineStr">
        <is>
          <t>Visual mensual · evaluación estructural cada 1-3 años y tras sismo · cubierta trimestral (NSR-10 / ASCE 7)</t>
        </is>
      </c>
      <c r="L5" s="13" t="n"/>
      <c r="M5" s="14" t="n"/>
      <c r="N5" s="14" t="n"/>
      <c r="O5" s="15" t="n"/>
      <c r="P5" s="16" t="inlineStr">
        <is>
          <t>A-01, A-02, A-05</t>
        </is>
      </c>
    </row>
    <row r="6" ht="46" customHeight="1">
      <c r="A6" s="10" t="inlineStr">
        <is>
          <t>R-02</t>
        </is>
      </c>
      <c r="B6" s="11" t="inlineStr">
        <is>
          <t>A. Edificio y piso</t>
        </is>
      </c>
      <c r="C6" s="5" t="inlineStr">
        <is>
          <t>SECTORIZACIÓN CONTRA INCENDIO. Muros cortafuego completos hasta cubierta, sellos en pasos de ductos y cables, puertas cortafuego con cierre libre.</t>
        </is>
      </c>
      <c r="D6" s="12" t="inlineStr">
        <is>
          <t>Certificado de sellos y checklist de puertas.</t>
        </is>
      </c>
      <c r="E6" s="5" t="inlineStr">
        <is>
          <t>Un conato se vuelve pérdida total; se pierde la garantía de la póliza</t>
        </is>
      </c>
      <c r="F6" s="13" t="n">
        <v>3</v>
      </c>
      <c r="G6" s="13" t="n">
        <v>5</v>
      </c>
      <c r="H6" s="10">
        <f>IF(OR($F6="",$G6=""),"",$F6*$G6)</f>
        <v>15</v>
      </c>
      <c r="I6" s="10" t="str">
        <f>IF($H6="","",IF($H6&gt;=20,"Extremo",IF($H6&gt;=12,"Alto",IF($H6&gt;=6,"Medio",IF($H6&gt;=3,"Bajo","Muy bajo")))))</f>
        <v>Alto</v>
      </c>
      <c r="J6" s="5" t="str">
        <f>IFERROR(VLOOKUP($I6,'3. Escalas'!$A$21:$C$25,3,FALSE),"")</f>
        <v>Semanal + inspección formal mensual</v>
      </c>
      <c r="K6" s="12" t="inlineStr">
        <is>
          <t>Trimestral (NFPA 80 / NFPA 221)</t>
        </is>
      </c>
      <c r="L6" s="13" t="n"/>
      <c r="M6" s="14" t="n"/>
      <c r="N6" s="14" t="n"/>
      <c r="O6" s="15" t="n"/>
      <c r="P6" s="16" t="inlineStr">
        <is>
          <t>A-04</t>
        </is>
      </c>
    </row>
    <row r="7" ht="46" customHeight="1">
      <c r="A7" s="10" t="inlineStr">
        <is>
          <t>R-03</t>
        </is>
      </c>
      <c r="B7" s="11" t="inlineStr">
        <is>
          <t>A. Edificio y piso</t>
        </is>
      </c>
      <c r="C7" s="5" t="inlineStr">
        <is>
          <t>PISO — CAPACIDAD, PLANITUD Y FISURAS. Capacidad portante vs. carga actual, planitud acorde a la altura de elevación y ausencia de fisuras bajo placas base.</t>
        </is>
      </c>
      <c r="D7" s="12" t="inlineStr">
        <is>
          <t>Estudio de piso y mapa de fisuras.</t>
        </is>
      </c>
      <c r="E7" s="5" t="inlineStr">
        <is>
          <t>Anclaje sin capacidad y volcamiento de racks; mástil fuera de plomo</t>
        </is>
      </c>
      <c r="F7" s="13" t="n">
        <v>3</v>
      </c>
      <c r="G7" s="13" t="n">
        <v>5</v>
      </c>
      <c r="H7" s="10">
        <f>IF(OR($F7="",$G7=""),"",$F7*$G7)</f>
        <v>15</v>
      </c>
      <c r="I7" s="10" t="str">
        <f>IF($H7="","",IF($H7&gt;=20,"Extremo",IF($H7&gt;=12,"Alto",IF($H7&gt;=6,"Medio",IF($H7&gt;=3,"Bajo","Muy bajo")))))</f>
        <v>Alto</v>
      </c>
      <c r="J7" s="5" t="str">
        <f>IFERROR(VLOOKUP($I7,'3. Escalas'!$A$21:$C$25,3,FALSE),"")</f>
        <v>Semanal + inspección formal mensual</v>
      </c>
      <c r="K7" s="12" t="inlineStr">
        <is>
          <t>Semestral · perfilometría cada 2-3 años en pasillo estrecho (EN 15620 / TR34 / ACI 302)</t>
        </is>
      </c>
      <c r="L7" s="13" t="n"/>
      <c r="M7" s="14" t="n"/>
      <c r="N7" s="14" t="n"/>
      <c r="O7" s="15" t="n"/>
      <c r="P7" s="16" t="inlineStr">
        <is>
          <t>A-03, A-07, A-09</t>
        </is>
      </c>
    </row>
    <row r="8" ht="46" customHeight="1">
      <c r="A8" s="10" t="inlineStr">
        <is>
          <t>R-04</t>
        </is>
      </c>
      <c r="B8" s="11" t="inlineStr">
        <is>
          <t>A. Edificio y piso</t>
        </is>
      </c>
      <c r="C8" s="5" t="inlineStr">
        <is>
          <t>PISO — JUNTAS, REJILLAS Y TRANSICIONES. Sellante y bordes de junta sanos, rejillas y tapas a nivel y con clase de carga adecuada.</t>
        </is>
      </c>
      <c r="D8" s="12" t="inlineStr">
        <is>
          <t>Mapa de juntas y programa de resellado.</t>
        </is>
      </c>
      <c r="E8" s="5" t="inlineStr">
        <is>
          <t>Daño de ruedas y mástiles; vibración que desestabiliza la carga; tropiezos</t>
        </is>
      </c>
      <c r="F8" s="13" t="n">
        <v>4</v>
      </c>
      <c r="G8" s="13" t="n">
        <v>3</v>
      </c>
      <c r="H8" s="10">
        <f>IF(OR($F8="",$G8=""),"",$F8*$G8)</f>
        <v>12</v>
      </c>
      <c r="I8" s="10" t="str">
        <f>IF($H8="","",IF($H8&gt;=20,"Extremo",IF($H8&gt;=12,"Alto",IF($H8&gt;=6,"Medio",IF($H8&gt;=3,"Bajo","Muy bajo")))))</f>
        <v>Alto</v>
      </c>
      <c r="J8" s="5" t="str">
        <f>IFERROR(VLOOKUP($I8,'3. Escalas'!$A$21:$C$25,3,FALSE),"")</f>
        <v>Semanal + inspección formal mensual</v>
      </c>
      <c r="K8" s="12" t="inlineStr">
        <is>
          <t>Trimestral · resellado cada 2 a 5 años (ACI 302 / TR34 / EN 124)</t>
        </is>
      </c>
      <c r="L8" s="13" t="n"/>
      <c r="M8" s="14" t="n"/>
      <c r="N8" s="14" t="n"/>
      <c r="O8" s="15" t="n"/>
      <c r="P8" s="16" t="inlineStr">
        <is>
          <t>A-08, A-14</t>
        </is>
      </c>
    </row>
    <row r="9" ht="48" customHeight="1">
      <c r="A9" s="10" t="inlineStr">
        <is>
          <t>R-05</t>
        </is>
      </c>
      <c r="B9" s="11" t="inlineStr">
        <is>
          <t>A. Edificio y piso</t>
        </is>
      </c>
      <c r="C9" s="5" t="inlineStr">
        <is>
          <t>PISO — MUELLES, RAMPAS Y ZONAS ESPECIALES. Franja frente a muelles sin hundimientos, rampas con textura y drenaje, contención en zonas de baterías y químicos, y niveles del piso en cámaras de congelación.</t>
        </is>
      </c>
      <c r="D9" s="12" t="inlineStr">
        <is>
          <t>Checklist por muelle y registro de niveles.</t>
        </is>
      </c>
      <c r="E9" s="5" t="inlineStr">
        <is>
          <t>Desnivel que engancha el equipo; derrame sin contener; levantamiento del piso de la cámara</t>
        </is>
      </c>
      <c r="F9" s="13" t="n">
        <v>4</v>
      </c>
      <c r="G9" s="13" t="n">
        <v>3</v>
      </c>
      <c r="H9" s="10">
        <f>IF(OR($F9="",$G9=""),"",$F9*$G9)</f>
        <v>12</v>
      </c>
      <c r="I9" s="10" t="str">
        <f>IF($H9="","",IF($H9&gt;=20,"Extremo",IF($H9&gt;=12,"Alto",IF($H9&gt;=6,"Medio",IF($H9&gt;=3,"Bajo","Muy bajo")))))</f>
        <v>Alto</v>
      </c>
      <c r="J9" s="5" t="str">
        <f>IFERROR(VLOOKUP($I9,'3. Escalas'!$A$21:$C$25,3,FALSE),"")</f>
        <v>Semanal + inspección formal mensual</v>
      </c>
      <c r="K9" s="12" t="inlineStr">
        <is>
          <t>Trimestral · niveles de cámara de congelación anual (ACI 302 / ANSI B56.1 / NFPA 30 / IIAR)</t>
        </is>
      </c>
      <c r="L9" s="13" t="n"/>
      <c r="M9" s="14" t="n"/>
      <c r="N9" s="14" t="n"/>
      <c r="O9" s="15" t="n"/>
      <c r="P9" s="16" t="inlineStr">
        <is>
          <t>A-13, A-17, A-18, A-19</t>
        </is>
      </c>
    </row>
    <row r="10" ht="46" customHeight="1">
      <c r="A10" s="10" t="inlineStr">
        <is>
          <t>R-06</t>
        </is>
      </c>
      <c r="B10" s="11" t="inlineStr">
        <is>
          <t>A. Edificio y piso</t>
        </is>
      </c>
      <c r="C10" s="5" t="inlineStr">
        <is>
          <t>PISO — DESLIZAMIENTO Y HUMEDAD. Superficie antideslizante en zonas húmedas, atención inmediata de derrames y ausencia de condensación recurrente.</t>
        </is>
      </c>
      <c r="D10" s="12" t="inlineStr">
        <is>
          <t>Evaluación de deslizamiento y procedimiento de derrames.</t>
        </is>
      </c>
      <c r="E10" s="5" t="inlineStr">
        <is>
          <t>Caídas al mismo nivel; deterioro de producto en contacto con el piso</t>
        </is>
      </c>
      <c r="F10" s="13" t="n">
        <v>4</v>
      </c>
      <c r="G10" s="13" t="n">
        <v>3</v>
      </c>
      <c r="H10" s="10">
        <f>IF(OR($F10="",$G10=""),"",$F10*$G10)</f>
        <v>12</v>
      </c>
      <c r="I10" s="10" t="str">
        <f>IF($H10="","",IF($H10&gt;=20,"Extremo",IF($H10&gt;=12,"Alto",IF($H10&gt;=6,"Medio",IF($H10&gt;=3,"Bajo","Muy bajo")))))</f>
        <v>Alto</v>
      </c>
      <c r="J10" s="5" t="str">
        <f>IFERROR(VLOOKUP($I10,'3. Escalas'!$A$21:$C$25,3,FALSE),"")</f>
        <v>Semanal + inspección formal mensual</v>
      </c>
      <c r="K10" s="12" t="inlineStr">
        <is>
          <t>Ronda diaria · evaluación semestral (ANSI A326.3 / DIN 51130 / ASTM F2170)</t>
        </is>
      </c>
      <c r="L10" s="13" t="n"/>
      <c r="M10" s="14" t="n"/>
      <c r="N10" s="14" t="n"/>
      <c r="O10" s="15" t="n"/>
      <c r="P10" s="16" t="inlineStr">
        <is>
          <t>A-11, A-12</t>
        </is>
      </c>
    </row>
    <row r="11" ht="48" customHeight="1">
      <c r="A11" s="10" t="inlineStr">
        <is>
          <t>R-07</t>
        </is>
      </c>
      <c r="B11" s="11" t="inlineStr">
        <is>
          <t>A. Edificio y piso</t>
        </is>
      </c>
      <c r="C11" s="5" t="inlineStr">
        <is>
          <t>PISO — SUPERFICIE, DEMARCACIÓN Y REPARACIONES. Sin desprendimiento ni polvo de concreto; demarcación visible de pasillos, senderos y ubicaciones; reparaciones sin desnivel.</t>
        </is>
      </c>
      <c r="D11" s="12" t="inlineStr">
        <is>
          <t>Plano de demarcación e historial de reparaciones.</t>
        </is>
      </c>
      <c r="E11" s="5" t="inlineStr">
        <is>
          <t>Contaminación del producto; pérdida de la segregación peatón-equipo</t>
        </is>
      </c>
      <c r="F11" s="13" t="n">
        <v>4</v>
      </c>
      <c r="G11" s="13" t="n">
        <v>3</v>
      </c>
      <c r="H11" s="10">
        <f>IF(OR($F11="",$G11=""),"",$F11*$G11)</f>
        <v>12</v>
      </c>
      <c r="I11" s="10" t="str">
        <f>IF($H11="","",IF($H11&gt;=20,"Extremo",IF($H11&gt;=12,"Alto",IF($H11&gt;=6,"Medio",IF($H11&gt;=3,"Bajo","Muy bajo")))))</f>
        <v>Alto</v>
      </c>
      <c r="J11" s="5" t="str">
        <f>IFERROR(VLOOKUP($I11,'3. Escalas'!$A$21:$C$25,3,FALSE),"")</f>
        <v>Semanal + inspección formal mensual</v>
      </c>
      <c r="K11" s="12" t="inlineStr">
        <is>
          <t>Demarcación mensual (repintado anual) · superficie y reparaciones semestral (ACI 302 / ACI 546)</t>
        </is>
      </c>
      <c r="L11" s="13" t="n"/>
      <c r="M11" s="14" t="n"/>
      <c r="N11" s="14" t="n"/>
      <c r="O11" s="15" t="n"/>
      <c r="P11" s="16" t="inlineStr">
        <is>
          <t>A-10, A-15, A-16</t>
        </is>
      </c>
    </row>
    <row r="12" ht="46" customHeight="1">
      <c r="A12" s="10" t="inlineStr">
        <is>
          <t>R-08</t>
        </is>
      </c>
      <c r="B12" s="17" t="inlineStr">
        <is>
          <t>B. Estantería</t>
        </is>
      </c>
      <c r="C12" s="5" t="inlineStr">
        <is>
          <t>CAPACIDAD DE CARGA. Placa de carga visible por módulo y peso real del pallet dentro de la capacidad declarada.</t>
        </is>
      </c>
      <c r="D12" s="12" t="inlineStr">
        <is>
          <t>Memoria de cálculo del fabricante y muestreo de pesaje.</t>
        </is>
      </c>
      <c r="E12" s="5" t="inlineStr">
        <is>
          <t>Colapso progresivo (efecto dominó) con fatalidades</t>
        </is>
      </c>
      <c r="F12" s="13" t="n">
        <v>4</v>
      </c>
      <c r="G12" s="13" t="n">
        <v>5</v>
      </c>
      <c r="H12" s="10">
        <f>IF(OR($F12="",$G12=""),"",$F12*$G12)</f>
        <v>20</v>
      </c>
      <c r="I12" s="10" t="str">
        <f>IF($H12="","",IF($H12&gt;=20,"Extremo",IF($H12&gt;=12,"Alto",IF($H12&gt;=6,"Medio",IF($H12&gt;=3,"Bajo","Muy bajo")))))</f>
        <v>Extremo</v>
      </c>
      <c r="J12" s="5" t="str">
        <f>IFERROR(VLOOKUP($I12,'3. Escalas'!$A$21:$C$25,3,FALSE),"")</f>
        <v>Diaria o por turno + inspección formal semanal</v>
      </c>
      <c r="K12" s="12" t="inlineStr">
        <is>
          <t>Verificación semanal · inspección experta anual (EN 15635 / EN 15512 / RMI MH16.1)</t>
        </is>
      </c>
      <c r="L12" s="13" t="n"/>
      <c r="M12" s="14" t="n"/>
      <c r="N12" s="14" t="n"/>
      <c r="O12" s="15" t="n"/>
      <c r="P12" s="16" t="inlineStr">
        <is>
          <t>B-01</t>
        </is>
      </c>
    </row>
    <row r="13" ht="48" customHeight="1">
      <c r="A13" s="10" t="inlineStr">
        <is>
          <t>R-09</t>
        </is>
      </c>
      <c r="B13" s="17" t="inlineStr">
        <is>
          <t>B. Estantería</t>
        </is>
      </c>
      <c r="C13" s="5" t="inlineStr">
        <is>
          <t>DAÑO POR IMPACTO. Recorrido con clasificación verde / ámbar / rojo; los módulos ROJOS se descargan y bloquean de inmediato.</t>
        </is>
      </c>
      <c r="D13" s="12" t="inlineStr">
        <is>
          <t>Formato de inspección con código de módulo y orden de reparación.</t>
        </is>
      </c>
      <c r="E13" s="5" t="inlineStr">
        <is>
          <t>Pérdida de hasta el 70% de la capacidad del montante y colapso de la línea</t>
        </is>
      </c>
      <c r="F13" s="13" t="n">
        <v>4</v>
      </c>
      <c r="G13" s="13" t="n">
        <v>5</v>
      </c>
      <c r="H13" s="10">
        <f>IF(OR($F13="",$G13=""),"",$F13*$G13)</f>
        <v>20</v>
      </c>
      <c r="I13" s="10" t="str">
        <f>IF($H13="","",IF($H13&gt;=20,"Extremo",IF($H13&gt;=12,"Alto",IF($H13&gt;=6,"Medio",IF($H13&gt;=3,"Bajo","Muy bajo")))))</f>
        <v>Extremo</v>
      </c>
      <c r="J13" s="5" t="str">
        <f>IFERROR(VLOOKUP($I13,'3. Escalas'!$A$21:$C$25,3,FALSE),"")</f>
        <v>Diaria o por turno + inspección formal semanal</v>
      </c>
      <c r="K13" s="12" t="inlineStr">
        <is>
          <t>Reporte inmediato de cualquier trabajador · recorrido semanal del PRRS · experta anual (EN 15635 §9)</t>
        </is>
      </c>
      <c r="L13" s="13" t="n"/>
      <c r="M13" s="14" t="n"/>
      <c r="N13" s="14" t="n"/>
      <c r="O13" s="15" t="n"/>
      <c r="P13" s="16" t="inlineStr">
        <is>
          <t>B-02</t>
        </is>
      </c>
    </row>
    <row r="14" ht="46" customHeight="1">
      <c r="A14" s="10" t="inlineStr">
        <is>
          <t>R-10</t>
        </is>
      </c>
      <c r="B14" s="17" t="inlineStr">
        <is>
          <t>B. Estantería</t>
        </is>
      </c>
      <c r="C14" s="5" t="inlineStr">
        <is>
          <t>ANCLAJES Y CONECTORES. Montantes anclados con el torque especificado, placas base sanas y pasadores de seguridad en todas las vigas.</t>
        </is>
      </c>
      <c r="D14" s="12" t="inlineStr">
        <is>
          <t>Protocolo de torque y checklist de pasadores por zona.</t>
        </is>
      </c>
      <c r="E14" s="5" t="inlineStr">
        <is>
          <t>Volcamiento de la línea; desenganche de viga al elevar el pallet</t>
        </is>
      </c>
      <c r="F14" s="13" t="n">
        <v>3</v>
      </c>
      <c r="G14" s="13" t="n">
        <v>5</v>
      </c>
      <c r="H14" s="10">
        <f>IF(OR($F14="",$G14=""),"",$F14*$G14)</f>
        <v>15</v>
      </c>
      <c r="I14" s="10" t="str">
        <f>IF($H14="","",IF($H14&gt;=20,"Extremo",IF($H14&gt;=12,"Alto",IF($H14&gt;=6,"Medio",IF($H14&gt;=3,"Bajo","Muy bajo")))))</f>
        <v>Alto</v>
      </c>
      <c r="J14" s="5" t="str">
        <f>IFERROR(VLOOKUP($I14,'3. Escalas'!$A$21:$C$25,3,FALSE),"")</f>
        <v>Semanal + inspección formal mensual</v>
      </c>
      <c r="K14" s="12" t="inlineStr">
        <is>
          <t>Pasadores mensual (muestreo) · anclajes y torque anual y tras sismo (EN 15629 / EN 15635)</t>
        </is>
      </c>
      <c r="L14" s="13" t="n"/>
      <c r="M14" s="14" t="n"/>
      <c r="N14" s="14" t="n"/>
      <c r="O14" s="15" t="n"/>
      <c r="P14" s="16" t="inlineStr">
        <is>
          <t>B-03, B-04</t>
        </is>
      </c>
    </row>
    <row r="15" ht="46" customHeight="1">
      <c r="A15" s="10" t="inlineStr">
        <is>
          <t>R-11</t>
        </is>
      </c>
      <c r="B15" s="17" t="inlineStr">
        <is>
          <t>B. Estantería</t>
        </is>
      </c>
      <c r="C15" s="5" t="inlineStr">
        <is>
          <t>PROTECCIÓN PERIMETRAL Y ANTIDERRUMBE. Protectores de columna y guardarraíles en esquinas, extremos de pasillo y zonas de tránsito; malla donde el rack da a zonas de personal.</t>
        </is>
      </c>
      <c r="D15" s="12" t="inlineStr">
        <is>
          <t>Plano de protecciones.</t>
        </is>
      </c>
      <c r="E15" s="5" t="inlineStr">
        <is>
          <t>Impacto directo sobre montantes; caída de producto sobre personas</t>
        </is>
      </c>
      <c r="F15" s="13" t="n">
        <v>4</v>
      </c>
      <c r="G15" s="13" t="n">
        <v>4</v>
      </c>
      <c r="H15" s="10">
        <f>IF(OR($F15="",$G15=""),"",$F15*$G15)</f>
        <v>16</v>
      </c>
      <c r="I15" s="10" t="str">
        <f>IF($H15="","",IF($H15&gt;=20,"Extremo",IF($H15&gt;=12,"Alto",IF($H15&gt;=6,"Medio",IF($H15&gt;=3,"Bajo","Muy bajo")))))</f>
        <v>Alto</v>
      </c>
      <c r="J15" s="5" t="str">
        <f>IFERROR(VLOOKUP($I15,'3. Escalas'!$A$21:$C$25,3,FALSE),"")</f>
        <v>Semanal + inspección formal mensual</v>
      </c>
      <c r="K15" s="12" t="inlineStr">
        <is>
          <t>Protectores mensual · mallas y barreras trimestral (EN 15635 / EN 15512)</t>
        </is>
      </c>
      <c r="L15" s="13" t="n"/>
      <c r="M15" s="14" t="n"/>
      <c r="N15" s="14" t="n"/>
      <c r="O15" s="15" t="n"/>
      <c r="P15" s="16" t="inlineStr">
        <is>
          <t>B-05, B-11</t>
        </is>
      </c>
    </row>
    <row r="16" ht="48" customHeight="1">
      <c r="A16" s="10" t="inlineStr">
        <is>
          <t>R-12</t>
        </is>
      </c>
      <c r="B16" s="17" t="inlineStr">
        <is>
          <t>B. Estantería</t>
        </is>
      </c>
      <c r="C16" s="5" t="inlineStr">
        <is>
          <t>SISTEMAS ESPECIALES: COMPACTO Y ENTREPISO. Guías, rieles y topes del rack compacto alineados; entrepiso con placa de carga, barandas, rodapiés y compuerta con enclavamiento.</t>
        </is>
      </c>
      <c r="D16" s="12" t="inlineStr">
        <is>
          <t>Memoria del entrepiso y mantenimiento del fabricante.</t>
        </is>
      </c>
      <c r="E16" s="5" t="inlineStr">
        <is>
          <t>Colapso de la estructura compacta; caída de altura desde el entrepiso</t>
        </is>
      </c>
      <c r="F16" s="13" t="n">
        <v>3</v>
      </c>
      <c r="G16" s="13" t="n">
        <v>5</v>
      </c>
      <c r="H16" s="10">
        <f>IF(OR($F16="",$G16=""),"",$F16*$G16)</f>
        <v>15</v>
      </c>
      <c r="I16" s="10" t="str">
        <f>IF($H16="","",IF($H16&gt;=20,"Extremo",IF($H16&gt;=12,"Alto",IF($H16&gt;=6,"Medio",IF($H16&gt;=3,"Bajo","Muy bajo")))))</f>
        <v>Alto</v>
      </c>
      <c r="J16" s="5" t="str">
        <f>IFERROR(VLOOKUP($I16,'3. Escalas'!$A$21:$C$25,3,FALSE),"")</f>
        <v>Semanal + inspección formal mensual</v>
      </c>
      <c r="K16" s="12" t="inlineStr">
        <is>
          <t>Compacto visual semanal y especializado semestral · entrepiso trimestral (EN 15635 / Res. 1409 de 2012)</t>
        </is>
      </c>
      <c r="L16" s="13" t="n"/>
      <c r="M16" s="14" t="n"/>
      <c r="N16" s="14" t="n"/>
      <c r="O16" s="15" t="n"/>
      <c r="P16" s="16" t="inlineStr">
        <is>
          <t>B-07, B-08</t>
        </is>
      </c>
    </row>
    <row r="17" ht="46" customHeight="1">
      <c r="A17" s="10" t="inlineStr">
        <is>
          <t>R-13</t>
        </is>
      </c>
      <c r="B17" s="17" t="inlineStr">
        <is>
          <t>B. Estantería</t>
        </is>
      </c>
      <c r="C17" s="5" t="inlineStr">
        <is>
          <t>UNIDAD DE CARGA Y APILAMIENTO EN BLOQUE. Retiro de estibas averiadas antes de subir a rack, enzunchado o film adecuado, y rumas dentro de la altura máxima y estables.</t>
        </is>
      </c>
      <c r="D17" s="12" t="inlineStr">
        <is>
          <t>Estándar de apilamiento y registro de rechazo de estibas.</t>
        </is>
      </c>
      <c r="E17" s="5" t="inlineStr">
        <is>
          <t>Caída de la unidad de carga desde altura; volcamiento de rumas</t>
        </is>
      </c>
      <c r="F17" s="13" t="n">
        <v>4</v>
      </c>
      <c r="G17" s="13" t="n">
        <v>4</v>
      </c>
      <c r="H17" s="10">
        <f>IF(OR($F17="",$G17=""),"",$F17*$G17)</f>
        <v>16</v>
      </c>
      <c r="I17" s="10" t="str">
        <f>IF($H17="","",IF($H17&gt;=20,"Extremo",IF($H17&gt;=12,"Alto",IF($H17&gt;=6,"Medio",IF($H17&gt;=3,"Bajo","Muy bajo")))))</f>
        <v>Alto</v>
      </c>
      <c r="J17" s="5" t="str">
        <f>IFERROR(VLOOKUP($I17,'3. Escalas'!$A$21:$C$25,3,FALSE),"")</f>
        <v>Semanal + inspección formal mensual</v>
      </c>
      <c r="K17" s="12" t="inlineStr">
        <is>
          <t>Diaria: en recibo y antes de ubicar (EN 15635 §8 / NFPA 230)</t>
        </is>
      </c>
      <c r="L17" s="13" t="n"/>
      <c r="M17" s="14" t="n"/>
      <c r="N17" s="14" t="n"/>
      <c r="O17" s="15" t="n"/>
      <c r="P17" s="16" t="inlineStr">
        <is>
          <t>B-09, B-10</t>
        </is>
      </c>
    </row>
    <row r="18" ht="48" customHeight="1">
      <c r="A18" s="10" t="inlineStr">
        <is>
          <t>R-14</t>
        </is>
      </c>
      <c r="B18" s="17" t="inlineStr">
        <is>
          <t>B. Estantería</t>
        </is>
      </c>
      <c r="C18" s="5" t="inlineStr">
        <is>
          <t>CAMBIOS DE CONFIGURACIÓN E INSPECCIÓN EXPERTA. Aval técnico escrito para todo cambio de nivel o configuración, placas actualizadas e inspección experta anual vigente.</t>
        </is>
      </c>
      <c r="D18" s="12" t="inlineStr">
        <is>
          <t>Aval del fabricante o calculista e informe de la inspección experta.</t>
        </is>
      </c>
      <c r="E18" s="5" t="inlineStr">
        <is>
          <t>Pérdida de capacidad no detectada; anulación de la garantía</t>
        </is>
      </c>
      <c r="F18" s="13" t="n">
        <v>3</v>
      </c>
      <c r="G18" s="13" t="n">
        <v>5</v>
      </c>
      <c r="H18" s="10">
        <f>IF(OR($F18="",$G18=""),"",$F18*$G18)</f>
        <v>15</v>
      </c>
      <c r="I18" s="10" t="str">
        <f>IF($H18="","",IF($H18&gt;=20,"Extremo",IF($H18&gt;=12,"Alto",IF($H18&gt;=6,"Medio",IF($H18&gt;=3,"Bajo","Muy bajo")))))</f>
        <v>Alto</v>
      </c>
      <c r="J18" s="5" t="str">
        <f>IFERROR(VLOOKUP($I18,'3. Escalas'!$A$21:$C$25,3,FALSE),"")</f>
        <v>Semanal + inspección formal mensual</v>
      </c>
      <c r="K18" s="12" t="inlineStr">
        <is>
          <t>En cada cambio · verificación anual de configuración vs. plano aprobado (EN 15635 / EN 15629)</t>
        </is>
      </c>
      <c r="L18" s="13" t="n"/>
      <c r="M18" s="14" t="n"/>
      <c r="N18" s="14" t="n"/>
      <c r="O18" s="15" t="n"/>
      <c r="P18" s="16" t="inlineStr">
        <is>
          <t>B-06, B-12</t>
        </is>
      </c>
    </row>
    <row r="19" ht="46" customHeight="1">
      <c r="A19" s="10" t="inlineStr">
        <is>
          <t>R-15</t>
        </is>
      </c>
      <c r="B19" s="18" t="inlineStr">
        <is>
          <t>C. Volumen y ocupación</t>
        </is>
      </c>
      <c r="C19" s="5" t="inlineStr">
        <is>
          <t>OCUPACIÓN Y PASILLOS LIBRES. % de ocupación vs. capacidad y pasillos, salidas, extintores, hidrantes y tableros sin obstrucción.</t>
        </is>
      </c>
      <c r="D19" s="12" t="inlineStr">
        <is>
          <t>Reporte de ocupación del WMS y ronda 5S.</t>
        </is>
      </c>
      <c r="E19" s="5" t="inlineStr">
        <is>
          <t>Evacuación fallida; imposibilidad de atacar un conato; accidentes</t>
        </is>
      </c>
      <c r="F19" s="13" t="n">
        <v>4</v>
      </c>
      <c r="G19" s="13" t="n">
        <v>5</v>
      </c>
      <c r="H19" s="10">
        <f>IF(OR($F19="",$G19=""),"",$F19*$G19)</f>
        <v>20</v>
      </c>
      <c r="I19" s="10" t="str">
        <f>IF($H19="","",IF($H19&gt;=20,"Extremo",IF($H19&gt;=12,"Alto",IF($H19&gt;=6,"Medio",IF($H19&gt;=3,"Bajo","Muy bajo")))))</f>
        <v>Extremo</v>
      </c>
      <c r="J19" s="5" t="str">
        <f>IFERROR(VLOOKUP($I19,'3. Escalas'!$A$21:$C$25,3,FALSE),"")</f>
        <v>Diaria o por turno + inspección formal semanal</v>
      </c>
      <c r="K19" s="12" t="inlineStr">
        <is>
          <t>Ronda diaria · KPI de ocupación diario y revisión semanal (NFPA 101 / NTC 1700)</t>
        </is>
      </c>
      <c r="L19" s="13" t="n"/>
      <c r="M19" s="14" t="n"/>
      <c r="N19" s="14" t="n"/>
      <c r="O19" s="15" t="n"/>
      <c r="P19" s="16" t="inlineStr">
        <is>
          <t>C-01, C-03</t>
        </is>
      </c>
    </row>
    <row r="20" ht="48" customHeight="1">
      <c r="A20" s="10" t="inlineStr">
        <is>
          <t>R-16</t>
        </is>
      </c>
      <c r="B20" s="18" t="inlineStr">
        <is>
          <t>C. Volumen y ocupación</t>
        </is>
      </c>
      <c r="C20" s="5" t="inlineStr">
        <is>
          <t>CARGA DE FUEGO VS. PROTECCIÓN. Altura máxima respetada, 45 cm libres bajo rociadores y clasificación de la mercancía acorde al diseño hidráulico.</t>
        </is>
      </c>
      <c r="D20" s="12" t="inlineStr">
        <is>
          <t>Registro de medición y estudio de clasificación.</t>
        </is>
      </c>
      <c r="E20" s="5" t="inlineStr">
        <is>
          <t>El sistema de rociadores no controla el incendio: pérdida total</t>
        </is>
      </c>
      <c r="F20" s="13" t="n">
        <v>4</v>
      </c>
      <c r="G20" s="13" t="n">
        <v>5</v>
      </c>
      <c r="H20" s="10">
        <f>IF(OR($F20="",$G20=""),"",$F20*$G20)</f>
        <v>20</v>
      </c>
      <c r="I20" s="10" t="str">
        <f>IF($H20="","",IF($H20&gt;=20,"Extremo",IF($H20&gt;=12,"Alto",IF($H20&gt;=6,"Medio",IF($H20&gt;=3,"Bajo","Muy bajo")))))</f>
        <v>Extremo</v>
      </c>
      <c r="J20" s="5" t="str">
        <f>IFERROR(VLOOKUP($I20,'3. Escalas'!$A$21:$C$25,3,FALSE),"")</f>
        <v>Diaria o por turno + inspección formal semanal</v>
      </c>
      <c r="K20" s="12" t="inlineStr">
        <is>
          <t>Mensual (altura y espacio libre) · revisión de clasificación semestral y ante cambio de portafolio (NFPA 13 / 230)</t>
        </is>
      </c>
      <c r="L20" s="13" t="n"/>
      <c r="M20" s="14" t="n"/>
      <c r="N20" s="14" t="n"/>
      <c r="O20" s="15" t="n"/>
      <c r="P20" s="16" t="inlineStr">
        <is>
          <t>A-06, C-02</t>
        </is>
      </c>
    </row>
    <row r="21" ht="46" customHeight="1">
      <c r="A21" s="10" t="inlineStr">
        <is>
          <t>R-17</t>
        </is>
      </c>
      <c r="B21" s="18" t="inlineStr">
        <is>
          <t>C. Volumen y ocupación</t>
        </is>
      </c>
      <c r="C21" s="5" t="inlineStr">
        <is>
          <t>PICOS ESTACIONALES Y VALOR ASEGURADO. Plan de temporada (capacidad, personal, inducción, refuerzo de supervisión) y valor del inventario pico vs. valor asegurado.</t>
        </is>
      </c>
      <c r="D21" s="12" t="inlineStr">
        <is>
          <t>Plan de temporada y reporte de valorización.</t>
        </is>
      </c>
      <c r="E21" s="5" t="inlineStr">
        <is>
          <t>Accidentalidad y desorden en el pico; pérdida no indemnizada</t>
        </is>
      </c>
      <c r="F21" s="13" t="n">
        <v>3</v>
      </c>
      <c r="G21" s="13" t="n">
        <v>4</v>
      </c>
      <c r="H21" s="10">
        <f>IF(OR($F21="",$G21=""),"",$F21*$G21)</f>
        <v>12</v>
      </c>
      <c r="I21" s="10" t="str">
        <f>IF($H21="","",IF($H21&gt;=20,"Extremo",IF($H21&gt;=12,"Alto",IF($H21&gt;=6,"Medio",IF($H21&gt;=3,"Bajo","Muy bajo")))))</f>
        <v>Alto</v>
      </c>
      <c r="J21" s="5" t="str">
        <f>IFERROR(VLOOKUP($I21,'3. Escalas'!$A$21:$C$25,3,FALSE),"")</f>
        <v>Semanal + inspección formal mensual</v>
      </c>
      <c r="K21" s="12" t="inlineStr">
        <is>
          <t>Antes de cada temporada · comparación valor vs. póliza mensual</t>
        </is>
      </c>
      <c r="L21" s="13" t="n"/>
      <c r="M21" s="14" t="n"/>
      <c r="N21" s="14" t="n"/>
      <c r="O21" s="15" t="n"/>
      <c r="P21" s="16" t="inlineStr">
        <is>
          <t>C-04, C-05, C-06</t>
        </is>
      </c>
    </row>
    <row r="22" ht="46" customHeight="1">
      <c r="A22" s="10" t="inlineStr">
        <is>
          <t>R-18</t>
        </is>
      </c>
      <c r="B22" s="14" t="inlineStr">
        <is>
          <t>D. Muelles y patio</t>
        </is>
      </c>
      <c r="C22" s="5" t="inlineStr">
        <is>
          <t>ASEGURAMIENTO DEL VEHÍCULO EN MUELLE. Calzo o dock lock antes de cada cargue, control de llaves, barrera en puertas sin vehículo y soporte del semirremolque desacoplado.</t>
        </is>
      </c>
      <c r="D22" s="12" t="inlineStr">
        <is>
          <t>Checklist de muelle y registro de entrega de llaves.</t>
        </is>
      </c>
      <c r="E22" s="5" t="inlineStr">
        <is>
          <t>Caída del montacargas al vacío entre muelle y camión: lesión grave o fatal</t>
        </is>
      </c>
      <c r="F22" s="13" t="n">
        <v>3</v>
      </c>
      <c r="G22" s="13" t="n">
        <v>5</v>
      </c>
      <c r="H22" s="10">
        <f>IF(OR($F22="",$G22=""),"",$F22*$G22)</f>
        <v>15</v>
      </c>
      <c r="I22" s="10" t="str">
        <f>IF($H22="","",IF($H22&gt;=20,"Extremo",IF($H22&gt;=12,"Alto",IF($H22&gt;=6,"Medio",IF($H22&gt;=3,"Bajo","Muy bajo")))))</f>
        <v>Alto</v>
      </c>
      <c r="J22" s="5" t="str">
        <f>IFERROR(VLOOKUP($I22,'3. Escalas'!$A$21:$C$25,3,FALSE),"")</f>
        <v>Semanal + inspección formal mensual</v>
      </c>
      <c r="K22" s="12" t="inlineStr">
        <is>
          <t>En cada operación · verificación diaria del supervisor (OSHA 1910.178(k))</t>
        </is>
      </c>
      <c r="L22" s="13" t="n"/>
      <c r="M22" s="14" t="n"/>
      <c r="N22" s="14" t="n"/>
      <c r="O22" s="15" t="n"/>
      <c r="P22" s="16" t="inlineStr">
        <is>
          <t>D-01, D-02, D-08</t>
        </is>
      </c>
    </row>
    <row r="23" ht="46" customHeight="1">
      <c r="A23" s="10" t="inlineStr">
        <is>
          <t>R-19</t>
        </is>
      </c>
      <c r="B23" s="14" t="inlineStr">
        <is>
          <t>D. Muelles y patio</t>
        </is>
      </c>
      <c r="C23" s="5" t="inlineStr">
        <is>
          <t>TRÁNSITO PEATÓN-VEHÍCULO EN PATIO. Senderos demarcados, separación de la zona de maniobra, guía en reversa, sala de espera de conductores e iluminación suficiente.</t>
        </is>
      </c>
      <c r="D23" s="12" t="inlineStr">
        <is>
          <t>Plan de tráfico del patio e inducción a conductores.</t>
        </is>
      </c>
      <c r="E23" s="5" t="inlineStr">
        <is>
          <t>Atropellamiento con resultado fatal</t>
        </is>
      </c>
      <c r="F23" s="13" t="n">
        <v>4</v>
      </c>
      <c r="G23" s="13" t="n">
        <v>4</v>
      </c>
      <c r="H23" s="10">
        <f>IF(OR($F23="",$G23=""),"",$F23*$G23)</f>
        <v>16</v>
      </c>
      <c r="I23" s="10" t="str">
        <f>IF($H23="","",IF($H23&gt;=20,"Extremo",IF($H23&gt;=12,"Alto",IF($H23&gt;=6,"Medio",IF($H23&gt;=3,"Bajo","Muy bajo")))))</f>
        <v>Alto</v>
      </c>
      <c r="J23" s="5" t="str">
        <f>IFERROR(VLOOKUP($I23,'3. Escalas'!$A$21:$C$25,3,FALSE),"")</f>
        <v>Semanal + inspección formal mensual</v>
      </c>
      <c r="K23" s="12" t="inlineStr">
        <is>
          <t>Verificación diaria · auditoría mensual · iluminación semestral (SG-SST / RETILAP)</t>
        </is>
      </c>
      <c r="L23" s="13" t="n"/>
      <c r="M23" s="14" t="n"/>
      <c r="N23" s="14" t="n"/>
      <c r="O23" s="15" t="n"/>
      <c r="P23" s="16" t="inlineStr">
        <is>
          <t>D-05, D-07, D-10</t>
        </is>
      </c>
    </row>
    <row r="24" ht="48" customHeight="1">
      <c r="A24" s="10" t="inlineStr">
        <is>
          <t>R-20</t>
        </is>
      </c>
      <c r="B24" s="14" t="inlineStr">
        <is>
          <t>D. Muelles y patio</t>
        </is>
      </c>
      <c r="C24" s="5" t="inlineStr">
        <is>
          <t>EQUIPOS DE MUELLE. Niveladores, rampas, puertas y abrigos sin daño ni fugas, con capacidad rotulada y ventilación en muelles cerrados.</t>
        </is>
      </c>
      <c r="D24" s="12" t="inlineStr">
        <is>
          <t>Hoja de vida del equipo y plan de mantenimiento.</t>
        </is>
      </c>
      <c r="E24" s="5" t="inlineStr">
        <is>
          <t>Falla del nivelador con el equipo encima; ingreso de agua y plagas; CO</t>
        </is>
      </c>
      <c r="F24" s="13" t="n">
        <v>3</v>
      </c>
      <c r="G24" s="13" t="n">
        <v>4</v>
      </c>
      <c r="H24" s="10">
        <f>IF(OR($F24="",$G24=""),"",$F24*$G24)</f>
        <v>12</v>
      </c>
      <c r="I24" s="10" t="str">
        <f>IF($H24="","",IF($H24&gt;=20,"Extremo",IF($H24&gt;=12,"Alto",IF($H24&gt;=6,"Medio",IF($H24&gt;=3,"Bajo","Muy bajo")))))</f>
        <v>Alto</v>
      </c>
      <c r="J24" s="5" t="str">
        <f>IFERROR(VLOOKUP($I24,'3. Escalas'!$A$21:$C$25,3,FALSE),"")</f>
        <v>Semanal + inspección formal mensual</v>
      </c>
      <c r="K24" s="12" t="inlineStr">
        <is>
          <t>Inspección mensual · mantenimiento preventivo semestral (manual del fabricante / ANSI MH30.1)</t>
        </is>
      </c>
      <c r="L24" s="13" t="n"/>
      <c r="M24" s="14" t="n"/>
      <c r="N24" s="14" t="n"/>
      <c r="O24" s="15" t="n"/>
      <c r="P24" s="16" t="inlineStr">
        <is>
          <t>D-03, D-04, D-09</t>
        </is>
      </c>
    </row>
    <row r="25" ht="46" customHeight="1">
      <c r="A25" s="10" t="inlineStr">
        <is>
          <t>R-21</t>
        </is>
      </c>
      <c r="B25" s="14" t="inlineStr">
        <is>
          <t>D. Muelles y patio</t>
        </is>
      </c>
      <c r="C25" s="5" t="inlineStr">
        <is>
          <t>PROGRAMACIÓN DE CITAS Y CONGESTIÓN. Cumplimiento de ventanas de cita, tiempo de permanencia del vehículo y ocupación de muelle por hora.</t>
        </is>
      </c>
      <c r="D25" s="12" t="inlineStr">
        <is>
          <t>Reporte de citas y de tiempos.</t>
        </is>
      </c>
      <c r="E25" s="5" t="inlineStr">
        <is>
          <t>Demoras, sobrecostos, maniobras riesgosas y filas en la vía pública</t>
        </is>
      </c>
      <c r="F25" s="13" t="n">
        <v>4</v>
      </c>
      <c r="G25" s="13" t="n">
        <v>3</v>
      </c>
      <c r="H25" s="10">
        <f>IF(OR($F25="",$G25=""),"",$F25*$G25)</f>
        <v>12</v>
      </c>
      <c r="I25" s="10" t="str">
        <f>IF($H25="","",IF($H25&gt;=20,"Extremo",IF($H25&gt;=12,"Alto",IF($H25&gt;=6,"Medio",IF($H25&gt;=3,"Bajo","Muy bajo")))))</f>
        <v>Alto</v>
      </c>
      <c r="J25" s="5" t="str">
        <f>IFERROR(VLOOKUP($I25,'3. Escalas'!$A$21:$C$25,3,FALSE),"")</f>
        <v>Semanal + inspección formal mensual</v>
      </c>
      <c r="K25" s="12" t="inlineStr">
        <is>
          <t>Semanal (KPI de citas y de permanencia)</t>
        </is>
      </c>
      <c r="L25" s="13" t="n"/>
      <c r="M25" s="14" t="n"/>
      <c r="N25" s="14" t="n"/>
      <c r="O25" s="15" t="n"/>
      <c r="P25" s="16" t="inlineStr">
        <is>
          <t>D-06</t>
        </is>
      </c>
    </row>
    <row r="26" ht="46" customHeight="1">
      <c r="A26" s="10" t="inlineStr">
        <is>
          <t>R-22</t>
        </is>
      </c>
      <c r="B26" s="19" t="inlineStr">
        <is>
          <t>E. Equipos (MHE)</t>
        </is>
      </c>
      <c r="C26" s="5" t="inlineStr">
        <is>
          <t>COLISIÓN Y VOLCAMIENTO. Segregación peatón-equipo, límites de velocidad, espejos en cruces, uso de cinturón y conducción con carga baja.</t>
        </is>
      </c>
      <c r="D26" s="12" t="inlineStr">
        <is>
          <t>Auditoría de comportamiento y reportes de casi-accidente.</t>
        </is>
      </c>
      <c r="E26" s="5" t="inlineStr">
        <is>
          <t>Atropellamiento o aplastamiento del operador: fatalidad</t>
        </is>
      </c>
      <c r="F26" s="13" t="n">
        <v>4</v>
      </c>
      <c r="G26" s="13" t="n">
        <v>5</v>
      </c>
      <c r="H26" s="10">
        <f>IF(OR($F26="",$G26=""),"",$F26*$G26)</f>
        <v>20</v>
      </c>
      <c r="I26" s="10" t="str">
        <f>IF($H26="","",IF($H26&gt;=20,"Extremo",IF($H26&gt;=12,"Alto",IF($H26&gt;=6,"Medio",IF($H26&gt;=3,"Bajo","Muy bajo")))))</f>
        <v>Extremo</v>
      </c>
      <c r="J26" s="5" t="str">
        <f>IFERROR(VLOOKUP($I26,'3. Escalas'!$A$21:$C$25,3,FALSE),"")</f>
        <v>Diaria o por turno + inspección formal semanal</v>
      </c>
      <c r="K26" s="12" t="inlineStr">
        <is>
          <t>Observación diaria · auditoría formal mensual (OSHA 1910.178 / ANSI B56.1)</t>
        </is>
      </c>
      <c r="L26" s="13" t="n"/>
      <c r="M26" s="14" t="n"/>
      <c r="N26" s="14" t="n"/>
      <c r="O26" s="15" t="n"/>
      <c r="P26" s="16" t="inlineStr">
        <is>
          <t>E-01, E-09</t>
        </is>
      </c>
    </row>
    <row r="27" ht="48" customHeight="1">
      <c r="A27" s="10" t="inlineStr">
        <is>
          <t>R-23</t>
        </is>
      </c>
      <c r="B27" s="19" t="inlineStr">
        <is>
          <t>E. Equipos (MHE)</t>
        </is>
      </c>
      <c r="C27" s="5" t="inlineStr">
        <is>
          <t>PREOPERACIONAL Y MANTENIMIENTO. Inspección por turno firmada con bloqueo ante falla crítica y preventivo al día (frenos, mástil, cadenas, horquillas, fugas).</t>
        </is>
      </c>
      <c r="D27" s="12" t="inlineStr">
        <is>
          <t>Formatos de preoperacional y hoja de vida por equipo.</t>
        </is>
      </c>
      <c r="E27" s="5" t="inlineStr">
        <is>
          <t>Pérdida de control del equipo o caída de la carga por falla mecánica</t>
        </is>
      </c>
      <c r="F27" s="13" t="n">
        <v>3</v>
      </c>
      <c r="G27" s="13" t="n">
        <v>5</v>
      </c>
      <c r="H27" s="10">
        <f>IF(OR($F27="",$G27=""),"",$F27*$G27)</f>
        <v>15</v>
      </c>
      <c r="I27" s="10" t="str">
        <f>IF($H27="","",IF($H27&gt;=20,"Extremo",IF($H27&gt;=12,"Alto",IF($H27&gt;=6,"Medio",IF($H27&gt;=3,"Bajo","Muy bajo")))))</f>
        <v>Alto</v>
      </c>
      <c r="J27" s="5" t="str">
        <f>IFERROR(VLOOKUP($I27,'3. Escalas'!$A$21:$C$25,3,FALSE),"")</f>
        <v>Semanal + inspección formal mensual</v>
      </c>
      <c r="K27" s="12" t="inlineStr">
        <is>
          <t>Por turno · preventivo por horómetro (250/500/1000 h) · horquillas anual (OSHA 1910.178(q) / ISO 5057)</t>
        </is>
      </c>
      <c r="L27" s="13" t="n"/>
      <c r="M27" s="14" t="n"/>
      <c r="N27" s="14" t="n"/>
      <c r="O27" s="15" t="n"/>
      <c r="P27" s="16" t="inlineStr">
        <is>
          <t>E-02, E-03</t>
        </is>
      </c>
    </row>
    <row r="28" ht="46" customHeight="1">
      <c r="A28" s="10" t="inlineStr">
        <is>
          <t>R-24</t>
        </is>
      </c>
      <c r="B28" s="19" t="inlineStr">
        <is>
          <t>E. Equipos (MHE)</t>
        </is>
      </c>
      <c r="C28" s="5" t="inlineStr">
        <is>
          <t>OPERADORES CERTIFICADOS. Matriz de operadores autorizados por tipo de equipo, con certificación y evaluación práctica vigentes, incluidos contratistas.</t>
        </is>
      </c>
      <c r="D28" s="12" t="inlineStr">
        <is>
          <t>Matriz de autorización y certificados.</t>
        </is>
      </c>
      <c r="E28" s="5" t="inlineStr">
        <is>
          <t>Accidente grave con responsabilidad legal directa del empleador</t>
        </is>
      </c>
      <c r="F28" s="13" t="n">
        <v>3</v>
      </c>
      <c r="G28" s="13" t="n">
        <v>5</v>
      </c>
      <c r="H28" s="10">
        <f>IF(OR($F28="",$G28=""),"",$F28*$G28)</f>
        <v>15</v>
      </c>
      <c r="I28" s="10" t="str">
        <f>IF($H28="","",IF($H28&gt;=20,"Extremo",IF($H28&gt;=12,"Alto",IF($H28&gt;=6,"Medio",IF($H28&gt;=3,"Bajo","Muy bajo")))))</f>
        <v>Alto</v>
      </c>
      <c r="J28" s="5" t="str">
        <f>IFERROR(VLOOKUP($I28,'3. Escalas'!$A$21:$C$25,3,FALSE),"")</f>
        <v>Semanal + inspección formal mensual</v>
      </c>
      <c r="K28" s="12" t="inlineStr">
        <is>
          <t>Verificación mensual de la matriz · recertificación cada 3 años (OSHA 1910.178(l)(4))</t>
        </is>
      </c>
      <c r="L28" s="13" t="n"/>
      <c r="M28" s="14" t="n"/>
      <c r="N28" s="14" t="n"/>
      <c r="O28" s="15" t="n"/>
      <c r="P28" s="16" t="inlineStr">
        <is>
          <t>E-04</t>
        </is>
      </c>
    </row>
    <row r="29" ht="46" customHeight="1">
      <c r="A29" s="10" t="inlineStr">
        <is>
          <t>R-25</t>
        </is>
      </c>
      <c r="B29" s="19" t="inlineStr">
        <is>
          <t>E. Equipos (MHE)</t>
        </is>
      </c>
      <c r="C29" s="5" t="inlineStr">
        <is>
          <t>TRABAJO EN ALTURA CON EQUIPO. Prohibición de elevar personas en horquillas o estiba; canastilla certificada con arnés anclado y permiso de trabajo.</t>
        </is>
      </c>
      <c r="D29" s="12" t="inlineStr">
        <is>
          <t>Permiso de altura y certificación de la canastilla.</t>
        </is>
      </c>
      <c r="E29" s="5" t="inlineStr">
        <is>
          <t>Caída de altura con resultado fatal</t>
        </is>
      </c>
      <c r="F29" s="13" t="n">
        <v>3</v>
      </c>
      <c r="G29" s="13" t="n">
        <v>5</v>
      </c>
      <c r="H29" s="10">
        <f>IF(OR($F29="",$G29=""),"",$F29*$G29)</f>
        <v>15</v>
      </c>
      <c r="I29" s="10" t="str">
        <f>IF($H29="","",IF($H29&gt;=20,"Extremo",IF($H29&gt;=12,"Alto",IF($H29&gt;=6,"Medio",IF($H29&gt;=3,"Bajo","Muy bajo")))))</f>
        <v>Alto</v>
      </c>
      <c r="J29" s="5" t="str">
        <f>IFERROR(VLOOKUP($I29,'3. Escalas'!$A$21:$C$25,3,FALSE),"")</f>
        <v>Semanal + inspección formal mensual</v>
      </c>
      <c r="K29" s="12" t="inlineStr">
        <is>
          <t>Cada tarea (permiso) · inspección de EPP trimestral (Res. 1409 de 2012 / OSHA 1910.178(m))</t>
        </is>
      </c>
      <c r="L29" s="13" t="n"/>
      <c r="M29" s="14" t="n"/>
      <c r="N29" s="14" t="n"/>
      <c r="O29" s="15" t="n"/>
      <c r="P29" s="16" t="inlineStr">
        <is>
          <t>E-07, E-08</t>
        </is>
      </c>
    </row>
    <row r="30" ht="46" customHeight="1">
      <c r="A30" s="10" t="inlineStr">
        <is>
          <t>R-26</t>
        </is>
      </c>
      <c r="B30" s="19" t="inlineStr">
        <is>
          <t>E. Equipos (MHE)</t>
        </is>
      </c>
      <c r="C30" s="5" t="inlineStr">
        <is>
          <t>BATERÍAS Y COMBUSTIBLES. Sala de carga ventilada con ducha y lavaojos operativos y kit de derrame; zona dedicada y protocolo para litio; cilindros de GLP en área ventilada.</t>
        </is>
      </c>
      <c r="D30" s="12" t="inlineStr">
        <is>
          <t>Prueba de ducha/lavaojos y procedimiento de litio.</t>
        </is>
      </c>
      <c r="E30" s="5" t="inlineStr">
        <is>
          <t>Explosión por hidrógeno, quemadura química o incendio de batería de litio</t>
        </is>
      </c>
      <c r="F30" s="13" t="n">
        <v>3</v>
      </c>
      <c r="G30" s="13" t="n">
        <v>5</v>
      </c>
      <c r="H30" s="10">
        <f>IF(OR($F30="",$G30=""),"",$F30*$G30)</f>
        <v>15</v>
      </c>
      <c r="I30" s="10" t="str">
        <f>IF($H30="","",IF($H30&gt;=20,"Extremo",IF($H30&gt;=12,"Alto",IF($H30&gt;=6,"Medio",IF($H30&gt;=3,"Bajo","Muy bajo")))))</f>
        <v>Alto</v>
      </c>
      <c r="J30" s="5" t="str">
        <f>IFERROR(VLOOKUP($I30,'3. Escalas'!$A$21:$C$25,3,FALSE),"")</f>
        <v>Semanal + inspección formal mensual</v>
      </c>
      <c r="K30" s="12" t="inlineStr">
        <is>
          <t>Mensual (NFPA 855 / NFPA 58 / OSHA 1910.178(g) / ANSI Z358.1)</t>
        </is>
      </c>
      <c r="L30" s="13" t="n"/>
      <c r="M30" s="14" t="n"/>
      <c r="N30" s="14" t="n"/>
      <c r="O30" s="15" t="n"/>
      <c r="P30" s="16" t="inlineStr">
        <is>
          <t>E-05, E-06, E-10</t>
        </is>
      </c>
    </row>
    <row r="31" ht="48" customHeight="1">
      <c r="A31" s="10" t="inlineStr">
        <is>
          <t>R-27</t>
        </is>
      </c>
      <c r="B31" s="20" t="inlineStr">
        <is>
          <t>F. Incendio</t>
        </is>
      </c>
      <c r="C31" s="5" t="inlineStr">
        <is>
          <t>AGUA Y ROCIADORES. Válvulas de control abiertas y aseguradas, presiones correctas, bomba que arranca y tanque con su nivel.</t>
        </is>
      </c>
      <c r="D31" s="12" t="inlineStr">
        <is>
          <t>Registros NFPA 25 y permiso de sistema fuera de servicio.</t>
        </is>
      </c>
      <c r="E31" s="5" t="inlineStr">
        <is>
          <t>Sistema inoperante en el incendio: pérdida total de la instalación</t>
        </is>
      </c>
      <c r="F31" s="13" t="n">
        <v>2</v>
      </c>
      <c r="G31" s="13" t="n">
        <v>5</v>
      </c>
      <c r="H31" s="10">
        <f>IF(OR($F31="",$G31=""),"",$F31*$G31)</f>
        <v>10</v>
      </c>
      <c r="I31" s="10" t="str">
        <f>IF($H31="","",IF($H31&gt;=20,"Extremo",IF($H31&gt;=12,"Alto",IF($H31&gt;=6,"Medio",IF($H31&gt;=3,"Bajo","Muy bajo")))))</f>
        <v>Medio</v>
      </c>
      <c r="J31" s="5" t="str">
        <f>IFERROR(VLOOKUP($I31,'3. Escalas'!$A$21:$C$25,3,FALSE),"")</f>
        <v>Mensual (operativo) o trimestral (estructural)</v>
      </c>
      <c r="K31" s="12" t="inlineStr">
        <is>
          <t>Válvulas y manómetros semanal/mensual · bomba semanal · prueba de flujo anual · tubería interna cada 5 años (NFPA 25)</t>
        </is>
      </c>
      <c r="L31" s="13" t="n"/>
      <c r="M31" s="14" t="n"/>
      <c r="N31" s="14" t="n"/>
      <c r="O31" s="15" t="n"/>
      <c r="P31" s="16" t="inlineStr">
        <is>
          <t>F-01, F-02</t>
        </is>
      </c>
    </row>
    <row r="32" ht="48" customHeight="1">
      <c r="A32" s="10" t="inlineStr">
        <is>
          <t>R-28</t>
        </is>
      </c>
      <c r="B32" s="20" t="inlineStr">
        <is>
          <t>F. Incendio</t>
        </is>
      </c>
      <c r="C32" s="5" t="inlineStr">
        <is>
          <t>DETECCIÓN, ALARMA E ILUMINACIÓN DE EMERGENCIA. Panel sin fallas, alarma audible en toda la bodega y luminarias de emergencia probadas.</t>
        </is>
      </c>
      <c r="D32" s="12" t="inlineStr">
        <is>
          <t>Certificado de prueba del sistema y registro de autonomía.</t>
        </is>
      </c>
      <c r="E32" s="5" t="inlineStr">
        <is>
          <t>Detección y evacuación tardías: víctimas</t>
        </is>
      </c>
      <c r="F32" s="13" t="n">
        <v>3</v>
      </c>
      <c r="G32" s="13" t="n">
        <v>5</v>
      </c>
      <c r="H32" s="10">
        <f>IF(OR($F32="",$G32=""),"",$F32*$G32)</f>
        <v>15</v>
      </c>
      <c r="I32" s="10" t="str">
        <f>IF($H32="","",IF($H32&gt;=20,"Extremo",IF($H32&gt;=12,"Alto",IF($H32&gt;=6,"Medio",IF($H32&gt;=3,"Bajo","Muy bajo")))))</f>
        <v>Alto</v>
      </c>
      <c r="J32" s="5" t="str">
        <f>IFERROR(VLOOKUP($I32,'3. Escalas'!$A$21:$C$25,3,FALSE),"")</f>
        <v>Semanal + inspección formal mensual</v>
      </c>
      <c r="K32" s="12" t="inlineStr">
        <is>
          <t>Panel mensual · prueba funcional semestral · certificación anual · autonomía 90 min anual (NFPA 72 / NFPA 101)</t>
        </is>
      </c>
      <c r="L32" s="13" t="n"/>
      <c r="M32" s="14" t="n"/>
      <c r="N32" s="14" t="n"/>
      <c r="O32" s="15" t="n"/>
      <c r="P32" s="16" t="inlineStr">
        <is>
          <t>F-03, F-12</t>
        </is>
      </c>
    </row>
    <row r="33" ht="48" customHeight="1">
      <c r="A33" s="10" t="inlineStr">
        <is>
          <t>R-29</t>
        </is>
      </c>
      <c r="B33" s="20" t="inlineStr">
        <is>
          <t>F. Incendio</t>
        </is>
      </c>
      <c r="C33" s="5" t="inlineStr">
        <is>
          <t>EXTINTORES, GABINETES E HIDRANTES. Señalizados, accesibles, con presión, sello y recarga vigente; mangueras y válvulas operativas.</t>
        </is>
      </c>
      <c r="D33" s="12" t="inlineStr">
        <is>
          <t>Tarjeta de inspección mensual y certificado de recarga.</t>
        </is>
      </c>
      <c r="E33" s="5" t="inlineStr">
        <is>
          <t>Un conato evoluciona a incendio mayor por falta de respuesta inmediata</t>
        </is>
      </c>
      <c r="F33" s="13" t="n">
        <v>4</v>
      </c>
      <c r="G33" s="13" t="n">
        <v>3</v>
      </c>
      <c r="H33" s="10">
        <f>IF(OR($F33="",$G33=""),"",$F33*$G33)</f>
        <v>12</v>
      </c>
      <c r="I33" s="10" t="str">
        <f>IF($H33="","",IF($H33&gt;=20,"Extremo",IF($H33&gt;=12,"Alto",IF($H33&gt;=6,"Medio",IF($H33&gt;=3,"Bajo","Muy bajo")))))</f>
        <v>Alto</v>
      </c>
      <c r="J33" s="5" t="str">
        <f>IFERROR(VLOOKUP($I33,'3. Escalas'!$A$21:$C$25,3,FALSE),"")</f>
        <v>Semanal + inspección formal mensual</v>
      </c>
      <c r="K33" s="12" t="inlineStr">
        <is>
          <t>Extintores mensual + recarga anual (hidrostática 5-12 años) · gabinetes e hidrantes trimestral (NFPA 10 / 25 / NTC 2885)</t>
        </is>
      </c>
      <c r="L33" s="13" t="n"/>
      <c r="M33" s="14" t="n"/>
      <c r="N33" s="14" t="n"/>
      <c r="O33" s="15" t="n"/>
      <c r="P33" s="16" t="inlineStr">
        <is>
          <t>F-04, F-05</t>
        </is>
      </c>
    </row>
    <row r="34" ht="46" customHeight="1">
      <c r="A34" s="10" t="inlineStr">
        <is>
          <t>R-30</t>
        </is>
      </c>
      <c r="B34" s="20" t="inlineStr">
        <is>
          <t>F. Incendio</t>
        </is>
      </c>
      <c r="C34" s="5" t="inlineStr">
        <is>
          <t>INFLAMABLES, AEROSOLES Y RESIDUOS. Cuarto o gabinete dedicado con cantidades máximas, dique y ventilación; patio de estibas separado del edificio y residuos evacuados.</t>
        </is>
      </c>
      <c r="D34" s="12" t="inlineStr">
        <is>
          <t>Inventario de sustancias y ronda de carga de fuego.</t>
        </is>
      </c>
      <c r="E34" s="5" t="inlineStr">
        <is>
          <t>Incendio de crecimiento explosivo; propagación rápida hacia la cubierta</t>
        </is>
      </c>
      <c r="F34" s="13" t="n">
        <v>4</v>
      </c>
      <c r="G34" s="13" t="n">
        <v>5</v>
      </c>
      <c r="H34" s="10">
        <f>IF(OR($F34="",$G34=""),"",$F34*$G34)</f>
        <v>20</v>
      </c>
      <c r="I34" s="10" t="str">
        <f>IF($H34="","",IF($H34&gt;=20,"Extremo",IF($H34&gt;=12,"Alto",IF($H34&gt;=6,"Medio",IF($H34&gt;=3,"Bajo","Muy bajo")))))</f>
        <v>Extremo</v>
      </c>
      <c r="J34" s="5" t="str">
        <f>IFERROR(VLOOKUP($I34,'3. Escalas'!$A$21:$C$25,3,FALSE),"")</f>
        <v>Diaria o por turno + inspección formal semanal</v>
      </c>
      <c r="K34" s="12" t="inlineStr">
        <is>
          <t>Inflamables mensual · estibas y residuos semanal (NFPA 30 / 30B / 230 / FM DS 8-24)</t>
        </is>
      </c>
      <c r="L34" s="13" t="n"/>
      <c r="M34" s="14" t="n"/>
      <c r="N34" s="14" t="n"/>
      <c r="O34" s="15" t="n"/>
      <c r="P34" s="16" t="inlineStr">
        <is>
          <t>F-06, F-09</t>
        </is>
      </c>
    </row>
    <row r="35" ht="48" customHeight="1">
      <c r="A35" s="10" t="inlineStr">
        <is>
          <t>R-31</t>
        </is>
      </c>
      <c r="B35" s="20" t="inlineStr">
        <is>
          <t>F. Incendio</t>
        </is>
      </c>
      <c r="C35" s="5" t="inlineStr">
        <is>
          <t>TRABAJOS EN CALIENTE E INSTALACIÓN ELÉCTRICA. Permiso con vigía de fuego y área despejada 11 m; sin extensiones improvisadas y tableros cerrados, rotulados y despejados.</t>
        </is>
      </c>
      <c r="D35" s="12" t="inlineStr">
        <is>
          <t>Permisos archivados e informe de termografía.</t>
        </is>
      </c>
      <c r="E35" s="5" t="inlineStr">
        <is>
          <t>Incendio de origen eléctrico o por trabajo en caliente: las causas más frecuentes</t>
        </is>
      </c>
      <c r="F35" s="13" t="n">
        <v>4</v>
      </c>
      <c r="G35" s="13" t="n">
        <v>5</v>
      </c>
      <c r="H35" s="10">
        <f>IF(OR($F35="",$G35=""),"",$F35*$G35)</f>
        <v>20</v>
      </c>
      <c r="I35" s="10" t="str">
        <f>IF($H35="","",IF($H35&gt;=20,"Extremo",IF($H35&gt;=12,"Alto",IF($H35&gt;=6,"Medio",IF($H35&gt;=3,"Bajo","Muy bajo")))))</f>
        <v>Extremo</v>
      </c>
      <c r="J35" s="5" t="str">
        <f>IFERROR(VLOOKUP($I35,'3. Escalas'!$A$21:$C$25,3,FALSE),"")</f>
        <v>Diaria o por turno + inspección formal semanal</v>
      </c>
      <c r="K35" s="12" t="inlineStr">
        <is>
          <t>Cada trabajo (permiso) · revisión eléctrica mensual · termografía anual (NFPA 51B / RETIE / NFPA 70B)</t>
        </is>
      </c>
      <c r="L35" s="13" t="n"/>
      <c r="M35" s="14" t="n"/>
      <c r="N35" s="14" t="n"/>
      <c r="O35" s="15" t="n"/>
      <c r="P35" s="16" t="inlineStr">
        <is>
          <t>F-07, F-08</t>
        </is>
      </c>
    </row>
    <row r="36" ht="48" customHeight="1">
      <c r="A36" s="10" t="inlineStr">
        <is>
          <t>R-32</t>
        </is>
      </c>
      <c r="B36" s="20" t="inlineStr">
        <is>
          <t>F. Incendio</t>
        </is>
      </c>
      <c r="C36" s="5" t="inlineStr">
        <is>
          <t>EVACUACIÓN Y SIMULACROS. Salidas libres con apertura en sentido de evacuación, señalización fotoluminiscente, punto de encuentro y simulacros con todos los turnos.</t>
        </is>
      </c>
      <c r="D36" s="12" t="inlineStr">
        <is>
          <t>Acta de simulacro con evaluación.</t>
        </is>
      </c>
      <c r="E36" s="5" t="inlineStr">
        <is>
          <t>Evacuación desordenada o fallida: víctimas múltiples</t>
        </is>
      </c>
      <c r="F36" s="13" t="n">
        <v>3</v>
      </c>
      <c r="G36" s="13" t="n">
        <v>5</v>
      </c>
      <c r="H36" s="10">
        <f>IF(OR($F36="",$G36=""),"",$F36*$G36)</f>
        <v>15</v>
      </c>
      <c r="I36" s="10" t="str">
        <f>IF($H36="","",IF($H36&gt;=20,"Extremo",IF($H36&gt;=12,"Alto",IF($H36&gt;=6,"Medio",IF($H36&gt;=3,"Bajo","Muy bajo")))))</f>
        <v>Alto</v>
      </c>
      <c r="J36" s="5" t="str">
        <f>IFERROR(VLOOKUP($I36,'3. Escalas'!$A$21:$C$25,3,FALSE),"")</f>
        <v>Semanal + inspección formal mensual</v>
      </c>
      <c r="K36" s="12" t="inlineStr">
        <is>
          <t>Verificación diaria de salidas · simulacro semestral (mínimo anual) (NTC 1700 / NFPA 101 / Decreto 1072)</t>
        </is>
      </c>
      <c r="L36" s="13" t="n"/>
      <c r="M36" s="14" t="n"/>
      <c r="N36" s="14" t="n"/>
      <c r="O36" s="15" t="n"/>
      <c r="P36" s="16" t="inlineStr">
        <is>
          <t>F-10</t>
        </is>
      </c>
    </row>
    <row r="37" ht="48" customHeight="1">
      <c r="A37" s="10" t="inlineStr">
        <is>
          <t>R-33</t>
        </is>
      </c>
      <c r="B37" s="20" t="inlineStr">
        <is>
          <t>F. Incendio</t>
        </is>
      </c>
      <c r="C37" s="5" t="inlineStr">
        <is>
          <t>BRIGADA Y PLAN DE EMERGENCIA. Brigadistas entrenados y disponibles por turno, plan actualizado y visita de reconocimiento de bomberos.</t>
        </is>
      </c>
      <c r="D37" s="12" t="inlineStr">
        <is>
          <t>Certificados de brigada y acta de visita.</t>
        </is>
      </c>
      <c r="E37" s="5" t="inlineStr">
        <is>
          <t>Respuesta descoordinada y control tardío del evento</t>
        </is>
      </c>
      <c r="F37" s="13" t="n">
        <v>3</v>
      </c>
      <c r="G37" s="13" t="n">
        <v>5</v>
      </c>
      <c r="H37" s="10">
        <f>IF(OR($F37="",$G37=""),"",$F37*$G37)</f>
        <v>15</v>
      </c>
      <c r="I37" s="10" t="str">
        <f>IF($H37="","",IF($H37&gt;=20,"Extremo",IF($H37&gt;=12,"Alto",IF($H37&gt;=6,"Medio",IF($H37&gt;=3,"Bajo","Muy bajo")))))</f>
        <v>Alto</v>
      </c>
      <c r="J37" s="5" t="str">
        <f>IFERROR(VLOOKUP($I37,'3. Escalas'!$A$21:$C$25,3,FALSE),"")</f>
        <v>Semanal + inspección formal mensual</v>
      </c>
      <c r="K37" s="12" t="inlineStr">
        <is>
          <t>Cobertura mensual · entrenamiento trimestral · actualización del plan anual (Decreto 1072 / NFPA 600 / 1600)</t>
        </is>
      </c>
      <c r="L37" s="13" t="n"/>
      <c r="M37" s="14" t="n"/>
      <c r="N37" s="14" t="n"/>
      <c r="O37" s="15" t="n"/>
      <c r="P37" s="16" t="inlineStr">
        <is>
          <t>F-11, F-13</t>
        </is>
      </c>
    </row>
    <row r="38" ht="60" customHeight="1">
      <c r="A38" s="10" t="inlineStr">
        <is>
          <t>R-34</t>
        </is>
      </c>
      <c r="B38" s="21" t="inlineStr">
        <is>
          <t>G. Riesgos naturales</t>
        </is>
      </c>
      <c r="C38" s="5" t="inlineStr">
        <is>
          <t>SISMO. Diseño sísmico del edificio y de la estantería, anclajes, retención de carga en niveles altos y protocolo de inspección obligatoria antes de reingresar tras un sismo.</t>
        </is>
      </c>
      <c r="D38" s="12" t="inlineStr">
        <is>
          <t>Estudio de vulnerabilidad y procedimiento post-evento.</t>
        </is>
      </c>
      <c r="E38" s="5" t="inlineStr">
        <is>
          <t>Colapso con víctimas múltiples e interrupción prolongada</t>
        </is>
      </c>
      <c r="F38" s="13" t="n">
        <v>2</v>
      </c>
      <c r="G38" s="13" t="n">
        <v>5</v>
      </c>
      <c r="H38" s="10">
        <f>IF(OR($F38="",$G38=""),"",$F38*$G38)</f>
        <v>10</v>
      </c>
      <c r="I38" s="10" t="str">
        <f>IF($H38="","",IF($H38&gt;=20,"Extremo",IF($H38&gt;=12,"Alto",IF($H38&gt;=6,"Medio",IF($H38&gt;=3,"Bajo","Muy bajo")))))</f>
        <v>Medio</v>
      </c>
      <c r="J38" s="5" t="str">
        <f>IFERROR(VLOOKUP($I38,'3. Escalas'!$A$21:$C$25,3,FALSE),"")</f>
        <v>Mensual (operativo) o trimestral (estructural)</v>
      </c>
      <c r="K38" s="12" t="inlineStr">
        <is>
          <t>Vulnerabilidad cada 1-3 años · retención de carga anual · inspección inmediata tras cada sismo (NSR-10 / ASCE 7 / FEM 10.2.08)</t>
        </is>
      </c>
      <c r="L38" s="13" t="n"/>
      <c r="M38" s="14" t="n"/>
      <c r="N38" s="14" t="n"/>
      <c r="O38" s="15" t="n"/>
      <c r="P38" s="16" t="inlineStr">
        <is>
          <t>G-01, G-02, G-03</t>
        </is>
      </c>
    </row>
    <row r="39" ht="46" customHeight="1">
      <c r="A39" s="10" t="inlineStr">
        <is>
          <t>R-35</t>
        </is>
      </c>
      <c r="B39" s="21" t="inlineStr">
        <is>
          <t>G. Riesgos naturales</t>
        </is>
      </c>
      <c r="C39" s="5" t="inlineStr">
        <is>
          <t>AGUA Y VIENTO. Capacidad de drenaje y drenajes de emergencia, fijaciones de cubierta, elementos sueltos en patio y producto sensible fuera del piso en zona inundable.</t>
        </is>
      </c>
      <c r="D39" s="12" t="inlineStr">
        <is>
          <t>Mapa de amenaza y checklist pre-temporada.</t>
        </is>
      </c>
      <c r="E39" s="5" t="inlineStr">
        <is>
          <t>Pérdida masiva de producto, daño eléctrico y paro prolongado</t>
        </is>
      </c>
      <c r="F39" s="13" t="n">
        <v>3</v>
      </c>
      <c r="G39" s="13" t="n">
        <v>5</v>
      </c>
      <c r="H39" s="10">
        <f>IF(OR($F39="",$G39=""),"",$F39*$G39)</f>
        <v>15</v>
      </c>
      <c r="I39" s="10" t="str">
        <f>IF($H39="","",IF($H39&gt;=20,"Extremo",IF($H39&gt;=12,"Alto",IF($H39&gt;=6,"Medio",IF($H39&gt;=3,"Bajo","Muy bajo")))))</f>
        <v>Alto</v>
      </c>
      <c r="J39" s="5" t="str">
        <f>IFERROR(VLOOKUP($I39,'3. Escalas'!$A$21:$C$25,3,FALSE),"")</f>
        <v>Semanal + inspección formal mensual</v>
      </c>
      <c r="K39" s="12" t="inlineStr">
        <is>
          <t>Semestral y obligatorio antes de temporada de lluvias y vientos (FM DS 1-54 / ASCE 7)</t>
        </is>
      </c>
      <c r="L39" s="13" t="n"/>
      <c r="M39" s="14" t="n"/>
      <c r="N39" s="14" t="n"/>
      <c r="O39" s="15" t="n"/>
      <c r="P39" s="16" t="inlineStr">
        <is>
          <t>G-04, G-05, G-06</t>
        </is>
      </c>
    </row>
    <row r="40" ht="46" customHeight="1">
      <c r="A40" s="10" t="inlineStr">
        <is>
          <t>R-36</t>
        </is>
      </c>
      <c r="B40" s="21" t="inlineStr">
        <is>
          <t>G. Riesgos naturales</t>
        </is>
      </c>
      <c r="C40" s="5" t="inlineStr">
        <is>
          <t>ENTORNO, RAYOS Y RESPUESTA EXTERNA. Actividades peligrosas colindantes, sistema de protección contra rayos y puesta a tierra, y acceso y tiempo de respuesta de bomberos.</t>
        </is>
      </c>
      <c r="D40" s="12" t="inlineStr">
        <is>
          <t>Medición de resistencia de tierra y acta de bomberos.</t>
        </is>
      </c>
      <c r="E40" s="5" t="inlineStr">
        <is>
          <t>Siniestro del vecino que se propaga; control tardío del incendio</t>
        </is>
      </c>
      <c r="F40" s="13" t="n">
        <v>2</v>
      </c>
      <c r="G40" s="13" t="n">
        <v>5</v>
      </c>
      <c r="H40" s="10">
        <f>IF(OR($F40="",$G40=""),"",$F40*$G40)</f>
        <v>10</v>
      </c>
      <c r="I40" s="10" t="str">
        <f>IF($H40="","",IF($H40&gt;=20,"Extremo",IF($H40&gt;=12,"Alto",IF($H40&gt;=6,"Medio",IF($H40&gt;=3,"Bajo","Muy bajo")))))</f>
        <v>Medio</v>
      </c>
      <c r="J40" s="5" t="str">
        <f>IFERROR(VLOOKUP($I40,'3. Escalas'!$A$21:$C$25,3,FALSE),"")</f>
        <v>Mensual (operativo) o trimestral (estructural)</v>
      </c>
      <c r="K40" s="12" t="inlineStr">
        <is>
          <t>Anual (RETIE / NTC 4552 / NFPA 780 / NFPA 1)</t>
        </is>
      </c>
      <c r="L40" s="13" t="n"/>
      <c r="M40" s="14" t="n"/>
      <c r="N40" s="14" t="n"/>
      <c r="O40" s="15" t="n"/>
      <c r="P40" s="16" t="inlineStr">
        <is>
          <t>G-07, G-08, G-09</t>
        </is>
      </c>
    </row>
    <row r="41" ht="48" customHeight="1">
      <c r="A41" s="10" t="inlineStr">
        <is>
          <t>R-37</t>
        </is>
      </c>
      <c r="B41" s="22" t="inlineStr">
        <is>
          <t>H. Eléctrico y servicios</t>
        </is>
      </c>
      <c r="C41" s="5" t="inlineStr">
        <is>
          <t>INSTALACIÓN ELÉCTRICA Y SUBESTACIÓN. Termografía con carga y cierre de anomalías, tableros cerrados y despejados (1 m libre), y mantenimiento de subestación con análisis de aceite.</t>
        </is>
      </c>
      <c r="D41" s="12" t="inlineStr">
        <is>
          <t>Informe termográfico y certificado RETIE.</t>
        </is>
      </c>
      <c r="E41" s="5" t="inlineStr">
        <is>
          <t>Incendio de origen eléctrico y paro total de la operación</t>
        </is>
      </c>
      <c r="F41" s="13" t="n">
        <v>3</v>
      </c>
      <c r="G41" s="13" t="n">
        <v>5</v>
      </c>
      <c r="H41" s="10">
        <f>IF(OR($F41="",$G41=""),"",$F41*$G41)</f>
        <v>15</v>
      </c>
      <c r="I41" s="10" t="str">
        <f>IF($H41="","",IF($H41&gt;=20,"Extremo",IF($H41&gt;=12,"Alto",IF($H41&gt;=6,"Medio",IF($H41&gt;=3,"Bajo","Muy bajo")))))</f>
        <v>Alto</v>
      </c>
      <c r="J41" s="5" t="str">
        <f>IFERROR(VLOOKUP($I41,'3. Escalas'!$A$21:$C$25,3,FALSE),"")</f>
        <v>Semanal + inspección formal mensual</v>
      </c>
      <c r="K41" s="12" t="inlineStr">
        <is>
          <t>Visual trimestral · termografía anual (semestral en tableros críticos) · subestación anual (RETIE / NFPA 70B / NETA)</t>
        </is>
      </c>
      <c r="L41" s="13" t="n"/>
      <c r="M41" s="14" t="n"/>
      <c r="N41" s="14" t="n"/>
      <c r="O41" s="15" t="n"/>
      <c r="P41" s="16" t="inlineStr">
        <is>
          <t>H-01, H-02</t>
        </is>
      </c>
    </row>
    <row r="42" ht="48" customHeight="1">
      <c r="A42" s="10" t="inlineStr">
        <is>
          <t>R-38</t>
        </is>
      </c>
      <c r="B42" s="22" t="inlineStr">
        <is>
          <t>H. Eléctrico y servicios</t>
        </is>
      </c>
      <c r="C42" s="5" t="inlineStr">
        <is>
          <t>RESPALDO DE ENERGÍA Y REFRIGERACIÓN. Planta probada con carga, autonomía y cobertura de circuitos críticos; detección de fuga y mantenimiento del sistema de frío.</t>
        </is>
      </c>
      <c r="D42" s="12" t="inlineStr">
        <is>
          <t>Registro de pruebas e inventario de circuitos respaldados.</t>
        </is>
      </c>
      <c r="E42" s="5" t="inlineStr">
        <is>
          <t>Pérdida del WMS, del CCTV y del inventario refrigerado; fuga tóxica</t>
        </is>
      </c>
      <c r="F42" s="13" t="n">
        <v>3</v>
      </c>
      <c r="G42" s="13" t="n">
        <v>4</v>
      </c>
      <c r="H42" s="10">
        <f>IF(OR($F42="",$G42=""),"",$F42*$G42)</f>
        <v>12</v>
      </c>
      <c r="I42" s="10" t="str">
        <f>IF($H42="","",IF($H42&gt;=20,"Extremo",IF($H42&gt;=12,"Alto",IF($H42&gt;=6,"Medio",IF($H42&gt;=3,"Bajo","Muy bajo")))))</f>
        <v>Alto</v>
      </c>
      <c r="J42" s="5" t="str">
        <f>IFERROR(VLOOKUP($I42,'3. Escalas'!$A$21:$C$25,3,FALSE),"")</f>
        <v>Semanal + inspección formal mensual</v>
      </c>
      <c r="K42" s="12" t="inlineStr">
        <is>
          <t>Planta mensual con carga · refrigeración mensual · mantenimiento semestral (NFPA 110 / IIAR / ASHRAE 15)</t>
        </is>
      </c>
      <c r="L42" s="13" t="n"/>
      <c r="M42" s="14" t="n"/>
      <c r="N42" s="14" t="n"/>
      <c r="O42" s="15" t="n"/>
      <c r="P42" s="16" t="inlineStr">
        <is>
          <t>H-03, H-04, H-05</t>
        </is>
      </c>
    </row>
    <row r="43" ht="48" customHeight="1">
      <c r="A43" s="10" t="inlineStr">
        <is>
          <t>R-39</t>
        </is>
      </c>
      <c r="B43" s="23" t="inlineStr">
        <is>
          <t>I. Seguridad física</t>
        </is>
      </c>
      <c r="C43" s="5" t="inlineStr">
        <is>
          <t>HURTO INTERNO Y PÉRDIDA DESCONOCIDA. Conteos cíclicos, control de salida de personal y vehículos, jaula de alto valor y análisis de los ajustes de inventario.</t>
        </is>
      </c>
      <c r="D43" s="12" t="inlineStr">
        <is>
          <t>Indicador de pérdida desconocida e investigaciones.</t>
        </is>
      </c>
      <c r="E43" s="5" t="inlineStr">
        <is>
          <t>Pérdida económica recurrente y deterioro del clima laboral</t>
        </is>
      </c>
      <c r="F43" s="13" t="n">
        <v>4</v>
      </c>
      <c r="G43" s="13" t="n">
        <v>4</v>
      </c>
      <c r="H43" s="10">
        <f>IF(OR($F43="",$G43=""),"",$F43*$G43)</f>
        <v>16</v>
      </c>
      <c r="I43" s="10" t="str">
        <f>IF($H43="","",IF($H43&gt;=20,"Extremo",IF($H43&gt;=12,"Alto",IF($H43&gt;=6,"Medio",IF($H43&gt;=3,"Bajo","Muy bajo")))))</f>
        <v>Alto</v>
      </c>
      <c r="J43" s="5" t="str">
        <f>IFERROR(VLOOKUP($I43,'3. Escalas'!$A$21:$C$25,3,FALSE),"")</f>
        <v>Semanal + inspección formal mensual</v>
      </c>
      <c r="K43" s="12" t="inlineStr">
        <is>
          <t>Conteos cíclicos diarios y semanales · auditoría de seguridad trimestral (ISO 28000 / BASC)</t>
        </is>
      </c>
      <c r="L43" s="13" t="n"/>
      <c r="M43" s="14" t="n"/>
      <c r="N43" s="14" t="n"/>
      <c r="O43" s="15" t="n"/>
      <c r="P43" s="16" t="inlineStr">
        <is>
          <t>I-01</t>
        </is>
      </c>
    </row>
    <row r="44" ht="48" customHeight="1">
      <c r="A44" s="10" t="inlineStr">
        <is>
          <t>R-40</t>
        </is>
      </c>
      <c r="B44" s="23" t="inlineStr">
        <is>
          <t>I. Seguridad física</t>
        </is>
      </c>
      <c r="C44" s="5" t="inlineStr">
        <is>
          <t>CONTROL DE ACCESO Y CCTV. Registro e identificación de visitantes, contratistas y conductores; cobertura del CCTV en puntos críticos, calidad y retención de video.</t>
        </is>
      </c>
      <c r="D44" s="12" t="inlineStr">
        <is>
          <t>Bitácora de portería y prueba de recuperación de video.</t>
        </is>
      </c>
      <c r="E44" s="5" t="inlineStr">
        <is>
          <t>Hurto, sabotaje e imposibilidad de investigar lo ocurrido</t>
        </is>
      </c>
      <c r="F44" s="13" t="n">
        <v>3</v>
      </c>
      <c r="G44" s="13" t="n">
        <v>4</v>
      </c>
      <c r="H44" s="10">
        <f>IF(OR($F44="",$G44=""),"",$F44*$G44)</f>
        <v>12</v>
      </c>
      <c r="I44" s="10" t="str">
        <f>IF($H44="","",IF($H44&gt;=20,"Extremo",IF($H44&gt;=12,"Alto",IF($H44&gt;=6,"Medio",IF($H44&gt;=3,"Bajo","Muy bajo")))))</f>
        <v>Alto</v>
      </c>
      <c r="J44" s="5" t="str">
        <f>IFERROR(VLOOKUP($I44,'3. Escalas'!$A$21:$C$25,3,FALSE),"")</f>
        <v>Semanal + inspección formal mensual</v>
      </c>
      <c r="K44" s="12" t="inlineStr">
        <is>
          <t>Verificación diaria del acceso · revisión de CCTV mensual (BASC / OEA / requisitos del cliente)</t>
        </is>
      </c>
      <c r="L44" s="13" t="n"/>
      <c r="M44" s="14" t="n"/>
      <c r="N44" s="14" t="n"/>
      <c r="O44" s="15" t="n"/>
      <c r="P44" s="16" t="inlineStr">
        <is>
          <t>I-03, I-04</t>
        </is>
      </c>
    </row>
    <row r="45" ht="46" customHeight="1">
      <c r="A45" s="10" t="inlineStr">
        <is>
          <t>R-41</t>
        </is>
      </c>
      <c r="B45" s="23" t="inlineStr">
        <is>
          <t>I. Seguridad física</t>
        </is>
      </c>
      <c r="C45" s="5" t="inlineStr">
        <is>
          <t>PERÍMETRO Y AMENAZA DE ASALTO. Cerramiento íntegro, iluminación y franja libre; protocolo antiasalto, botón de pánico y coordinación con la policía.</t>
        </is>
      </c>
      <c r="D45" s="12" t="inlineStr">
        <is>
          <t>Informe de recorrido perimetral y estudio de amenaza.</t>
        </is>
      </c>
      <c r="E45" s="5" t="inlineStr">
        <is>
          <t>Robo a mano armada con lesiones y pérdida de un embarque completo</t>
        </is>
      </c>
      <c r="F45" s="13" t="n">
        <v>2</v>
      </c>
      <c r="G45" s="13" t="n">
        <v>5</v>
      </c>
      <c r="H45" s="10">
        <f>IF(OR($F45="",$G45=""),"",$F45*$G45)</f>
        <v>10</v>
      </c>
      <c r="I45" s="10" t="str">
        <f>IF($H45="","",IF($H45&gt;=20,"Extremo",IF($H45&gt;=12,"Alto",IF($H45&gt;=6,"Medio",IF($H45&gt;=3,"Bajo","Muy bajo")))))</f>
        <v>Medio</v>
      </c>
      <c r="J45" s="5" t="str">
        <f>IFERROR(VLOOKUP($I45,'3. Escalas'!$A$21:$C$25,3,FALSE),"")</f>
        <v>Mensual (operativo) o trimestral (estructural)</v>
      </c>
      <c r="K45" s="12" t="inlineStr">
        <is>
          <t>Recorrido perimetral trimestral · análisis de amenaza semestral (ISO 28000)</t>
        </is>
      </c>
      <c r="L45" s="13" t="n"/>
      <c r="M45" s="14" t="n"/>
      <c r="N45" s="14" t="n"/>
      <c r="O45" s="15" t="n"/>
      <c r="P45" s="16" t="inlineStr">
        <is>
          <t>I-02, I-07</t>
        </is>
      </c>
    </row>
    <row r="46" ht="48" customHeight="1">
      <c r="A46" s="10" t="inlineStr">
        <is>
          <t>R-42</t>
        </is>
      </c>
      <c r="B46" s="23" t="inlineStr">
        <is>
          <t>I. Seguridad física</t>
        </is>
      </c>
      <c r="C46" s="5" t="inlineStr">
        <is>
          <t>PROTECCIÓN DE LA CARGA. Inspección del contenedor antes del cargue, control y trazabilidad de sellos de alta seguridad y validación de identidad del conductor contra la programación.</t>
        </is>
      </c>
      <c r="D46" s="12" t="inlineStr">
        <is>
          <t>Formato de inspección y bitácora de sellos.</t>
        </is>
      </c>
      <c r="E46" s="5" t="inlineStr">
        <is>
          <t>Contaminación de la carga, pérdida de certificación, entrega a un suplantador</t>
        </is>
      </c>
      <c r="F46" s="13" t="n">
        <v>2</v>
      </c>
      <c r="G46" s="13" t="n">
        <v>5</v>
      </c>
      <c r="H46" s="10">
        <f>IF(OR($F46="",$G46=""),"",$F46*$G46)</f>
        <v>10</v>
      </c>
      <c r="I46" s="10" t="str">
        <f>IF($H46="","",IF($H46&gt;=20,"Extremo",IF($H46&gt;=12,"Alto",IF($H46&gt;=6,"Medio",IF($H46&gt;=3,"Bajo","Muy bajo")))))</f>
        <v>Medio</v>
      </c>
      <c r="J46" s="5" t="str">
        <f>IFERROR(VLOOKUP($I46,'3. Escalas'!$A$21:$C$25,3,FALSE),"")</f>
        <v>Mensual (operativo) o trimestral (estructural)</v>
      </c>
      <c r="K46" s="12" t="inlineStr">
        <is>
          <t>En cada despacho · auditoría del programa trimestral · certificación anual (BASC / OEA / C-TPAT / ISO 17712)</t>
        </is>
      </c>
      <c r="L46" s="13" t="n"/>
      <c r="M46" s="14" t="n"/>
      <c r="N46" s="14" t="n"/>
      <c r="O46" s="15" t="n"/>
      <c r="P46" s="16" t="inlineStr">
        <is>
          <t>I-05, I-06, I-08</t>
        </is>
      </c>
    </row>
    <row r="47" ht="46" customHeight="1">
      <c r="A47" s="10" t="inlineStr">
        <is>
          <t>R-43</t>
        </is>
      </c>
      <c r="B47" s="24" t="inlineStr">
        <is>
          <t>J. Tecnología</t>
        </is>
      </c>
      <c r="C47" s="5" t="inlineStr">
        <is>
          <t>DISPONIBILIDAD DEL WMS. Esquema de respaldo y alta disponibilidad, procedimiento manual de contingencia probado y cobertura de radiofrecuencia sin zonas muertas.</t>
        </is>
      </c>
      <c r="D47" s="12" t="inlineStr">
        <is>
          <t>Acta de prueba de contingencia y site survey.</t>
        </is>
      </c>
      <c r="E47" s="5" t="inlineStr">
        <is>
          <t>Parálisis total de recibo, picking y despacho</t>
        </is>
      </c>
      <c r="F47" s="13" t="n">
        <v>3</v>
      </c>
      <c r="G47" s="13" t="n">
        <v>5</v>
      </c>
      <c r="H47" s="10">
        <f>IF(OR($F47="",$G47=""),"",$F47*$G47)</f>
        <v>15</v>
      </c>
      <c r="I47" s="10" t="str">
        <f>IF($H47="","",IF($H47&gt;=20,"Extremo",IF($H47&gt;=12,"Alto",IF($H47&gt;=6,"Medio",IF($H47&gt;=3,"Bajo","Muy bajo")))))</f>
        <v>Alto</v>
      </c>
      <c r="J47" s="5" t="str">
        <f>IFERROR(VLOOKUP($I47,'3. Escalas'!$A$21:$C$25,3,FALSE),"")</f>
        <v>Semanal + inspección formal mensual</v>
      </c>
      <c r="K47" s="12" t="inlineStr">
        <is>
          <t>Prueba del plan de contingencia semestral · cobertura RF semestral (ISO 22301)</t>
        </is>
      </c>
      <c r="L47" s="13" t="n"/>
      <c r="M47" s="14" t="n"/>
      <c r="N47" s="14" t="n"/>
      <c r="O47" s="15" t="n"/>
      <c r="P47" s="16" t="inlineStr">
        <is>
          <t>J-01, J-03</t>
        </is>
      </c>
    </row>
    <row r="48" ht="48" customHeight="1">
      <c r="A48" s="10" t="inlineStr">
        <is>
          <t>R-44</t>
        </is>
      </c>
      <c r="B48" s="24" t="inlineStr">
        <is>
          <t>J. Tecnología</t>
        </is>
      </c>
      <c r="C48" s="5" t="inlineStr">
        <is>
          <t>CIBERSEGURIDAD Y RESPALDO DE DATOS. Respaldo probado (regla 3-2-1), segmentación de red, control de accesos con doble factor, parches y retención de registros de trazabilidad.</t>
        </is>
      </c>
      <c r="D48" s="12" t="inlineStr">
        <is>
          <t>Acta de restauración e informe de vulnerabilidades.</t>
        </is>
      </c>
      <c r="E48" s="5" t="inlineStr">
        <is>
          <t>Ransomware con paro total, pérdida de trazabilidad y extorsión</t>
        </is>
      </c>
      <c r="F48" s="13" t="n">
        <v>3</v>
      </c>
      <c r="G48" s="13" t="n">
        <v>5</v>
      </c>
      <c r="H48" s="10">
        <f>IF(OR($F48="",$G48=""),"",$F48*$G48)</f>
        <v>15</v>
      </c>
      <c r="I48" s="10" t="str">
        <f>IF($H48="","",IF($H48&gt;=20,"Extremo",IF($H48&gt;=12,"Alto",IF($H48&gt;=6,"Medio",IF($H48&gt;=3,"Bajo","Muy bajo")))))</f>
        <v>Alto</v>
      </c>
      <c r="J48" s="5" t="str">
        <f>IFERROR(VLOOKUP($I48,'3. Escalas'!$A$21:$C$25,3,FALSE),"")</f>
        <v>Semanal + inspección formal mensual</v>
      </c>
      <c r="K48" s="12" t="inlineStr">
        <is>
          <t>Restauración de respaldo trimestral · vulnerabilidades semestral · pentest anual (ISO 27001 / NIST CSF)</t>
        </is>
      </c>
      <c r="L48" s="13" t="n"/>
      <c r="M48" s="14" t="n"/>
      <c r="N48" s="14" t="n"/>
      <c r="O48" s="15" t="n"/>
      <c r="P48" s="16" t="inlineStr">
        <is>
          <t>J-02, J-04</t>
        </is>
      </c>
    </row>
    <row r="49" ht="48" customHeight="1">
      <c r="A49" s="10" t="inlineStr">
        <is>
          <t>R-45</t>
        </is>
      </c>
      <c r="B49" s="25" t="inlineStr">
        <is>
          <t>K. Personas (SST)</t>
        </is>
      </c>
      <c r="C49" s="5" t="inlineStr">
        <is>
          <t>ERGONOMÍA Y MANIPULACIÓN MANUAL. Matriz de riesgo por puesto, límites de peso, ayudas mecánicas, alturas de picking y pausas activas.</t>
        </is>
      </c>
      <c r="D49" s="12" t="inlineStr">
        <is>
          <t>Evaluación ergonómica y programa de vigilancia epidemiológica.</t>
        </is>
      </c>
      <c r="E49" s="5" t="inlineStr">
        <is>
          <t>Incapacidades prolongadas, ausentismo y demandas laborales</t>
        </is>
      </c>
      <c r="F49" s="13" t="n">
        <v>4</v>
      </c>
      <c r="G49" s="13" t="n">
        <v>3</v>
      </c>
      <c r="H49" s="10">
        <f>IF(OR($F49="",$G49=""),"",$F49*$G49)</f>
        <v>12</v>
      </c>
      <c r="I49" s="10" t="str">
        <f>IF($H49="","",IF($H49&gt;=20,"Extremo",IF($H49&gt;=12,"Alto",IF($H49&gt;=6,"Medio",IF($H49&gt;=3,"Bajo","Muy bajo")))))</f>
        <v>Alto</v>
      </c>
      <c r="J49" s="5" t="str">
        <f>IFERROR(VLOOKUP($I49,'3. Escalas'!$A$21:$C$25,3,FALSE),"")</f>
        <v>Semanal + inspección formal mensual</v>
      </c>
      <c r="K49" s="12" t="inlineStr">
        <is>
          <t>Evaluación anual · seguimiento del programa semestral · observación mensual (ISO 11228 / NIOSH / Res. 2400)</t>
        </is>
      </c>
      <c r="L49" s="13" t="n"/>
      <c r="M49" s="14" t="n"/>
      <c r="N49" s="14" t="n"/>
      <c r="O49" s="15" t="n"/>
      <c r="P49" s="16" t="inlineStr">
        <is>
          <t>K-01</t>
        </is>
      </c>
    </row>
    <row r="50" ht="46" customHeight="1">
      <c r="A50" s="10" t="inlineStr">
        <is>
          <t>R-46</t>
        </is>
      </c>
      <c r="B50" s="25" t="inlineStr">
        <is>
          <t>K. Personas (SST)</t>
        </is>
      </c>
      <c r="C50" s="5" t="inlineStr">
        <is>
          <t>CAÍDAS AL MISMO NIVEL Y ORDEN. Piso libre de film, zunchos y cables, derrames atendidos de inmediato y señalización de piso húmedo disponible.</t>
        </is>
      </c>
      <c r="D50" s="12" t="inlineStr">
        <is>
          <t>Ronda 5S y reporte de condiciones inseguras.</t>
        </is>
      </c>
      <c r="E50" s="5" t="inlineStr">
        <is>
          <t>Lesiones e incapacidades por la causa más frecuente de accidente en bodega</t>
        </is>
      </c>
      <c r="F50" s="13" t="n">
        <v>4</v>
      </c>
      <c r="G50" s="13" t="n">
        <v>3</v>
      </c>
      <c r="H50" s="10">
        <f>IF(OR($F50="",$G50=""),"",$F50*$G50)</f>
        <v>12</v>
      </c>
      <c r="I50" s="10" t="str">
        <f>IF($H50="","",IF($H50&gt;=20,"Extremo",IF($H50&gt;=12,"Alto",IF($H50&gt;=6,"Medio",IF($H50&gt;=3,"Bajo","Muy bajo")))))</f>
        <v>Alto</v>
      </c>
      <c r="J50" s="5" t="str">
        <f>IFERROR(VLOOKUP($I50,'3. Escalas'!$A$21:$C$25,3,FALSE),"")</f>
        <v>Semanal + inspección formal mensual</v>
      </c>
      <c r="K50" s="12" t="inlineStr">
        <is>
          <t>Ronda diaria (SG-SST / OSHA 1910.22)</t>
        </is>
      </c>
      <c r="L50" s="13" t="n"/>
      <c r="M50" s="14" t="n"/>
      <c r="N50" s="14" t="n"/>
      <c r="O50" s="15" t="n"/>
      <c r="P50" s="16" t="inlineStr">
        <is>
          <t>K-02</t>
        </is>
      </c>
    </row>
    <row r="51" ht="48" customHeight="1">
      <c r="A51" s="10" t="inlineStr">
        <is>
          <t>R-47</t>
        </is>
      </c>
      <c r="B51" s="25" t="inlineStr">
        <is>
          <t>K. Personas (SST)</t>
        </is>
      </c>
      <c r="C51" s="5" t="inlineStr">
        <is>
          <t>TRABAJO EN ALTURA. Permiso por tarea, personal certificado, puntos de anclaje con memoria de cálculo y arneses inspeccionados.</t>
        </is>
      </c>
      <c r="D51" s="12" t="inlineStr">
        <is>
          <t>Permisos, certificados e inspección de EPP.</t>
        </is>
      </c>
      <c r="E51" s="5" t="inlineStr">
        <is>
          <t>Caída de altura con resultado fatal y sanción legal significativa</t>
        </is>
      </c>
      <c r="F51" s="13" t="n">
        <v>3</v>
      </c>
      <c r="G51" s="13" t="n">
        <v>5</v>
      </c>
      <c r="H51" s="10">
        <f>IF(OR($F51="",$G51=""),"",$F51*$G51)</f>
        <v>15</v>
      </c>
      <c r="I51" s="10" t="str">
        <f>IF($H51="","",IF($H51&gt;=20,"Extremo",IF($H51&gt;=12,"Alto",IF($H51&gt;=6,"Medio",IF($H51&gt;=3,"Bajo","Muy bajo")))))</f>
        <v>Alto</v>
      </c>
      <c r="J51" s="5" t="str">
        <f>IFERROR(VLOOKUP($I51,'3. Escalas'!$A$21:$C$25,3,FALSE),"")</f>
        <v>Semanal + inspección formal mensual</v>
      </c>
      <c r="K51" s="12" t="inlineStr">
        <is>
          <t>Cada tarea (permiso) · inspección de EPP trimestral · recertificación del personal según norma (Res. 1409 de 2012)</t>
        </is>
      </c>
      <c r="L51" s="13" t="n"/>
      <c r="M51" s="14" t="n"/>
      <c r="N51" s="14" t="n"/>
      <c r="O51" s="15" t="n"/>
      <c r="P51" s="16" t="inlineStr">
        <is>
          <t>K-03</t>
        </is>
      </c>
    </row>
    <row r="52" ht="46" customHeight="1">
      <c r="A52" s="10" t="inlineStr">
        <is>
          <t>R-48</t>
        </is>
      </c>
      <c r="B52" s="25" t="inlineStr">
        <is>
          <t>K. Personas (SST)</t>
        </is>
      </c>
      <c r="C52" s="5" t="inlineStr">
        <is>
          <t>INDUCCIÓN, ROTACIÓN Y FATIGA. Inducción documentada antes de entrar a piso para personal nuevo, temporal y contratista; control de horas extra y descansos.</t>
        </is>
      </c>
      <c r="D52" s="12" t="inlineStr">
        <is>
          <t>Registros de induccion y reporte de horas extra.</t>
        </is>
      </c>
      <c r="E52" s="5" t="inlineStr">
        <is>
          <t>Accidentes y errores por personal sin competencia o fatigado</t>
        </is>
      </c>
      <c r="F52" s="13" t="n">
        <v>4</v>
      </c>
      <c r="G52" s="13" t="n">
        <v>4</v>
      </c>
      <c r="H52" s="10">
        <f>IF(OR($F52="",$G52=""),"",$F52*$G52)</f>
        <v>16</v>
      </c>
      <c r="I52" s="10" t="str">
        <f>IF($H52="","",IF($H52&gt;=20,"Extremo",IF($H52&gt;=12,"Alto",IF($H52&gt;=6,"Medio",IF($H52&gt;=3,"Bajo","Muy bajo")))))</f>
        <v>Alto</v>
      </c>
      <c r="J52" s="5" t="str">
        <f>IFERROR(VLOOKUP($I52,'3. Escalas'!$A$21:$C$25,3,FALSE),"")</f>
        <v>Semanal + inspección formal mensual</v>
      </c>
      <c r="K52" s="12" t="inlineStr">
        <is>
          <t>En cada ingreso · verificación mensual del cumplimiento (Decreto 1072 de 2015)</t>
        </is>
      </c>
      <c r="L52" s="13" t="n"/>
      <c r="M52" s="14" t="n"/>
      <c r="N52" s="14" t="n"/>
      <c r="O52" s="15" t="n"/>
      <c r="P52" s="16" t="inlineStr">
        <is>
          <t>K-06, K-07</t>
        </is>
      </c>
    </row>
    <row r="53" ht="48" customHeight="1">
      <c r="A53" s="10" t="inlineStr">
        <is>
          <t>R-49</t>
        </is>
      </c>
      <c r="B53" s="25" t="inlineStr">
        <is>
          <t>K. Personas (SST)</t>
        </is>
      </c>
      <c r="C53" s="5" t="inlineStr">
        <is>
          <t>HIGIENE, TEMPERATURA Y ATENCIÓN MÉDICA. Mediciones higiénicas vigentes, control de exposición a frío y calor, permiso para espacios confinados y contenedores fumigados, y botiquines y camillas por turno.</t>
        </is>
      </c>
      <c r="D53" s="12" t="inlineStr">
        <is>
          <t>Informes higiénicos y certificados de primeros auxilios.</t>
        </is>
      </c>
      <c r="E53" s="5" t="inlineStr">
        <is>
          <t>Enfermedad laboral; intoxicación aguda; agravamiento de una lesión</t>
        </is>
      </c>
      <c r="F53" s="13" t="n">
        <v>3</v>
      </c>
      <c r="G53" s="13" t="n">
        <v>3</v>
      </c>
      <c r="H53" s="10">
        <f>IF(OR($F53="",$G53=""),"",$F53*$G53)</f>
        <v>9</v>
      </c>
      <c r="I53" s="10" t="str">
        <f>IF($H53="","",IF($H53&gt;=20,"Extremo",IF($H53&gt;=12,"Alto",IF($H53&gt;=6,"Medio",IF($H53&gt;=3,"Bajo","Muy bajo")))))</f>
        <v>Medio</v>
      </c>
      <c r="J53" s="5" t="str">
        <f>IFERROR(VLOOKUP($I53,'3. Escalas'!$A$21:$C$25,3,FALSE),"")</f>
        <v>Mensual (operativo) o trimestral (estructural)</v>
      </c>
      <c r="K53" s="12" t="inlineStr">
        <is>
          <t>Mediciones cada 1-2 años · botiquines mensual · confinados en cada tarea (Res. 0312 de 2019 / Res. 0491 de 2020)</t>
        </is>
      </c>
      <c r="L53" s="13" t="n"/>
      <c r="M53" s="14" t="n"/>
      <c r="N53" s="14" t="n"/>
      <c r="O53" s="15" t="n"/>
      <c r="P53" s="16" t="inlineStr">
        <is>
          <t>K-04, K-05, K-08, K-09</t>
        </is>
      </c>
    </row>
    <row r="54" ht="48" customHeight="1">
      <c r="A54" s="10" t="inlineStr">
        <is>
          <t>R-50</t>
        </is>
      </c>
      <c r="B54" s="26" t="inlineStr">
        <is>
          <t>L. Producto y calidad</t>
        </is>
      </c>
      <c r="C54" s="5" t="inlineStr">
        <is>
          <t>CADENA DE FRÍO. Monitoreo continuo con alarma, sensores calibrados, tiempo máximo en muelle y plan de contingencia ante falla del equipo o de la energía.</t>
        </is>
      </c>
      <c r="D54" s="12" t="inlineStr">
        <is>
          <t>Registros de temperatura y certificados de calibración.</t>
        </is>
      </c>
      <c r="E54" s="5" t="inlineStr">
        <is>
          <t>Pérdida total del lote, riesgo sanitario y sanción del ente regulador</t>
        </is>
      </c>
      <c r="F54" s="13" t="n">
        <v>3</v>
      </c>
      <c r="G54" s="13" t="n">
        <v>5</v>
      </c>
      <c r="H54" s="10">
        <f>IF(OR($F54="",$G54=""),"",$F54*$G54)</f>
        <v>15</v>
      </c>
      <c r="I54" s="10" t="str">
        <f>IF($H54="","",IF($H54&gt;=20,"Extremo",IF($H54&gt;=12,"Alto",IF($H54&gt;=6,"Medio",IF($H54&gt;=3,"Bajo","Muy bajo")))))</f>
        <v>Alto</v>
      </c>
      <c r="J54" s="5" t="str">
        <f>IFERROR(VLOOKUP($I54,'3. Escalas'!$A$21:$C$25,3,FALSE),"")</f>
        <v>Semanal + inspección formal mensual</v>
      </c>
      <c r="K54" s="12" t="inlineStr">
        <is>
          <t>Monitoreo continuo con revisión diaria · calibración anual · mantenimiento mensual (BPM / HACCP / GDP)</t>
        </is>
      </c>
      <c r="L54" s="13" t="n"/>
      <c r="M54" s="14" t="n"/>
      <c r="N54" s="14" t="n"/>
      <c r="O54" s="15" t="n"/>
      <c r="P54" s="16" t="inlineStr">
        <is>
          <t>L-01</t>
        </is>
      </c>
    </row>
    <row r="55" ht="46" customHeight="1">
      <c r="A55" s="10" t="inlineStr">
        <is>
          <t>R-51</t>
        </is>
      </c>
      <c r="B55" s="26" t="inlineStr">
        <is>
          <t>L. Producto y calidad</t>
        </is>
      </c>
      <c r="C55" s="5" t="inlineStr">
        <is>
          <t>PLAGAS Y CONDICIONES DE ALMACENAMIENTO. Programa MIP con mapa de estaciones y tendencia, accesos sellados, producto sobre estiba y separado de muros, humedad controlada.</t>
        </is>
      </c>
      <c r="D55" s="12" t="inlineStr">
        <is>
          <t>Informe mensual del proveedor MIP.</t>
        </is>
      </c>
      <c r="E55" s="5" t="inlineStr">
        <is>
          <t>Contaminación del producto, cierre sanitario y pérdida de certificación</t>
        </is>
      </c>
      <c r="F55" s="13" t="n">
        <v>3</v>
      </c>
      <c r="G55" s="13" t="n">
        <v>4</v>
      </c>
      <c r="H55" s="10">
        <f>IF(OR($F55="",$G55=""),"",$F55*$G55)</f>
        <v>12</v>
      </c>
      <c r="I55" s="10" t="str">
        <f>IF($H55="","",IF($H55&gt;=20,"Extremo",IF($H55&gt;=12,"Alto",IF($H55&gt;=6,"Medio",IF($H55&gt;=3,"Bajo","Muy bajo")))))</f>
        <v>Alto</v>
      </c>
      <c r="J55" s="5" t="str">
        <f>IFERROR(VLOOKUP($I55,'3. Escalas'!$A$21:$C$25,3,FALSE),"")</f>
        <v>Semanal + inspección formal mensual</v>
      </c>
      <c r="K55" s="12" t="inlineStr">
        <is>
          <t>Mensual (BPM / Res. 2674 de 2013 / AIB)</t>
        </is>
      </c>
      <c r="L55" s="13" t="n"/>
      <c r="M55" s="14" t="n"/>
      <c r="N55" s="14" t="n"/>
      <c r="O55" s="15" t="n"/>
      <c r="P55" s="16" t="inlineStr">
        <is>
          <t>L-02, L-09</t>
        </is>
      </c>
    </row>
    <row r="56" ht="48" customHeight="1">
      <c r="A56" s="10" t="inlineStr">
        <is>
          <t>R-52</t>
        </is>
      </c>
      <c r="B56" s="26" t="inlineStr">
        <is>
          <t>L. Producto y calidad</t>
        </is>
      </c>
      <c r="C56" s="5" t="inlineStr">
        <is>
          <t>SEGREGACIÓN Y MERCANCÍAS PELIGROSAS. Matriz de compatibilidad, químicos separados de alimentos, alérgenos segregados, rotulado por clase ONU, fichas de seguridad accesibles y kit de derrames.</t>
        </is>
      </c>
      <c r="D56" s="12" t="inlineStr">
        <is>
          <t>Inventario clasificado y FDS.</t>
        </is>
      </c>
      <c r="E56" s="5" t="inlineStr">
        <is>
          <t>Contaminación cruzada con recall; derrame con sanción ambiental</t>
        </is>
      </c>
      <c r="F56" s="13" t="n">
        <v>3</v>
      </c>
      <c r="G56" s="13" t="n">
        <v>5</v>
      </c>
      <c r="H56" s="10">
        <f>IF(OR($F56="",$G56=""),"",$F56*$G56)</f>
        <v>15</v>
      </c>
      <c r="I56" s="10" t="str">
        <f>IF($H56="","",IF($H56&gt;=20,"Extremo",IF($H56&gt;=12,"Alto",IF($H56&gt;=6,"Medio",IF($H56&gt;=3,"Bajo","Muy bajo")))))</f>
        <v>Alto</v>
      </c>
      <c r="J56" s="5" t="str">
        <f>IFERROR(VLOOKUP($I56,'3. Escalas'!$A$21:$C$25,3,FALSE),"")</f>
        <v>Semanal + inspección formal mensual</v>
      </c>
      <c r="K56" s="12" t="inlineStr">
        <is>
          <t>Mensual (Decreto 1609 de 2002 / NTC 1692 / SGA-GHS / NFPA 400)</t>
        </is>
      </c>
      <c r="L56" s="13" t="n"/>
      <c r="M56" s="14" t="n"/>
      <c r="N56" s="14" t="n"/>
      <c r="O56" s="15" t="n"/>
      <c r="P56" s="16" t="inlineStr">
        <is>
          <t>L-03, L-05, L-06</t>
        </is>
      </c>
    </row>
    <row r="57" ht="46" customHeight="1">
      <c r="A57" s="10" t="inlineStr">
        <is>
          <t>R-53</t>
        </is>
      </c>
      <c r="B57" s="26" t="inlineStr">
        <is>
          <t>L. Producto y calidad</t>
        </is>
      </c>
      <c r="C57" s="5" t="inlineStr">
        <is>
          <t>FEFO Y VENCIMIENTOS. FEFO parametrizado en el WMS, reporte de próximos a vencer y bloqueo automático de lotes vencidos.</t>
        </is>
      </c>
      <c r="D57" s="12" t="inlineStr">
        <is>
          <t>Reporte de vencimientos y política de retiro anticipado.</t>
        </is>
      </c>
      <c r="E57" s="5" t="inlineStr">
        <is>
          <t>Despacho de producto vencido, sanción sanitaria y destrucción de inventario</t>
        </is>
      </c>
      <c r="F57" s="13" t="n">
        <v>3</v>
      </c>
      <c r="G57" s="13" t="n">
        <v>4</v>
      </c>
      <c r="H57" s="10">
        <f>IF(OR($F57="",$G57=""),"",$F57*$G57)</f>
        <v>12</v>
      </c>
      <c r="I57" s="10" t="str">
        <f>IF($H57="","",IF($H57&gt;=20,"Extremo",IF($H57&gt;=12,"Alto",IF($H57&gt;=6,"Medio",IF($H57&gt;=3,"Bajo","Muy bajo")))))</f>
        <v>Alto</v>
      </c>
      <c r="J57" s="5" t="str">
        <f>IFERROR(VLOOKUP($I57,'3. Escalas'!$A$21:$C$25,3,FALSE),"")</f>
        <v>Semanal + inspección formal mensual</v>
      </c>
      <c r="K57" s="12" t="inlineStr">
        <is>
          <t>Semanal (BPM / ISO 9001)</t>
        </is>
      </c>
      <c r="L57" s="13" t="n"/>
      <c r="M57" s="14" t="n"/>
      <c r="N57" s="14" t="n"/>
      <c r="O57" s="15" t="n"/>
      <c r="P57" s="16" t="inlineStr">
        <is>
          <t>L-04</t>
        </is>
      </c>
    </row>
    <row r="58" ht="48" customHeight="1">
      <c r="A58" s="10" t="inlineStr">
        <is>
          <t>R-54</t>
        </is>
      </c>
      <c r="B58" s="26" t="inlineStr">
        <is>
          <t>L. Producto y calidad</t>
        </is>
      </c>
      <c r="C58" s="5" t="inlineStr">
        <is>
          <t>EXACTITUD DE INVENTARIO, MERMA Y RECALL. Conteos cíclicos por clasificación ABC con análisis de causa, indicador de averías por proceso y simulacro de trazabilidad.</t>
        </is>
      </c>
      <c r="D58" s="12" t="inlineStr">
        <is>
          <t>Indicador ERI y acta de simulacro de recall.</t>
        </is>
      </c>
      <c r="E58" s="5" t="inlineStr">
        <is>
          <t>Quiebres, ajustes contables, merma y retiro de producto no focalizado</t>
        </is>
      </c>
      <c r="F58" s="13" t="n">
        <v>4</v>
      </c>
      <c r="G58" s="13" t="n">
        <v>3</v>
      </c>
      <c r="H58" s="10">
        <f>IF(OR($F58="",$G58=""),"",$F58*$G58)</f>
        <v>12</v>
      </c>
      <c r="I58" s="10" t="str">
        <f>IF($H58="","",IF($H58&gt;=20,"Extremo",IF($H58&gt;=12,"Alto",IF($H58&gt;=6,"Medio",IF($H58&gt;=3,"Bajo","Muy bajo")))))</f>
        <v>Alto</v>
      </c>
      <c r="J58" s="5" t="str">
        <f>IFERROR(VLOOKUP($I58,'3. Escalas'!$A$21:$C$25,3,FALSE),"")</f>
        <v>Semanal + inspección formal mensual</v>
      </c>
      <c r="K58" s="12" t="inlineStr">
        <is>
          <t>Conteos cíclicos diarios (A) y semanales (B y C) · inventario general anual · simulacro de recall anual (ISO 22000)</t>
        </is>
      </c>
      <c r="L58" s="13" t="n"/>
      <c r="M58" s="14" t="n"/>
      <c r="N58" s="14" t="n"/>
      <c r="O58" s="15" t="n"/>
      <c r="P58" s="16" t="inlineStr">
        <is>
          <t>L-07, L-08, L-10</t>
        </is>
      </c>
    </row>
    <row r="59" ht="46" customHeight="1">
      <c r="A59" s="10" t="inlineStr">
        <is>
          <t>R-55</t>
        </is>
      </c>
      <c r="B59" s="27" t="inlineStr">
        <is>
          <t>M. Operación</t>
        </is>
      </c>
      <c r="C59" s="5" t="inlineStr">
        <is>
          <t>CAPACIDAD, LAYOUT Y FLUJOS. Capacidad por proceso vs. demanda proyectada, identificación de la restricción, cruces de flujo y coherencia del slotting con la rotación.</t>
        </is>
      </c>
      <c r="D59" s="12" t="inlineStr">
        <is>
          <t>Estudio de capacidad y plano de layout vigente.</t>
        </is>
      </c>
      <c r="E59" s="5" t="inlineStr">
        <is>
          <t>Incumplimiento del nivel de servicio, sobrecostos y congestión</t>
        </is>
      </c>
      <c r="F59" s="13" t="n">
        <v>4</v>
      </c>
      <c r="G59" s="13" t="n">
        <v>3</v>
      </c>
      <c r="H59" s="10">
        <f>IF(OR($F59="",$G59=""),"",$F59*$G59)</f>
        <v>12</v>
      </c>
      <c r="I59" s="10" t="str">
        <f>IF($H59="","",IF($H59&gt;=20,"Extremo",IF($H59&gt;=12,"Alto",IF($H59&gt;=6,"Medio",IF($H59&gt;=3,"Bajo","Muy bajo")))))</f>
        <v>Alto</v>
      </c>
      <c r="J59" s="5" t="str">
        <f>IFERROR(VLOOKUP($I59,'3. Escalas'!$A$21:$C$25,3,FALSE),"")</f>
        <v>Semanal + inspección formal mensual</v>
      </c>
      <c r="K59" s="12" t="inlineStr">
        <is>
          <t>Capacidad mensual · layout y slotting semestral</t>
        </is>
      </c>
      <c r="L59" s="13" t="n"/>
      <c r="M59" s="14" t="n"/>
      <c r="N59" s="14" t="n"/>
      <c r="O59" s="15" t="n"/>
      <c r="P59" s="16" t="inlineStr">
        <is>
          <t>M-01, M-02</t>
        </is>
      </c>
    </row>
    <row r="60" ht="46" customHeight="1">
      <c r="A60" s="10" t="inlineStr">
        <is>
          <t>R-56</t>
        </is>
      </c>
      <c r="B60" s="27" t="inlineStr">
        <is>
          <t>M. Operación</t>
        </is>
      </c>
      <c r="C60" s="5" t="inlineStr">
        <is>
          <t>DEVOLUCIONES, DOCUMENTACIÓN E INDICADORES. Área demarcada y tiempo máximo de permanencia de devoluciones, validación documental en el despacho y tablero con acciones cerradas.</t>
        </is>
      </c>
      <c r="D60" s="12" t="inlineStr">
        <is>
          <t>Indicador de pedidos perfectos y actas con compromisos.</t>
        </is>
      </c>
      <c r="E60" s="5" t="inlineStr">
        <is>
          <t>Mezcla con inventario disponible, sanciones y riesgos sin señales tempranas</t>
        </is>
      </c>
      <c r="F60" s="13" t="n">
        <v>3</v>
      </c>
      <c r="G60" s="13" t="n">
        <v>3</v>
      </c>
      <c r="H60" s="10">
        <f>IF(OR($F60="",$G60=""),"",$F60*$G60)</f>
        <v>9</v>
      </c>
      <c r="I60" s="10" t="str">
        <f>IF($H60="","",IF($H60&gt;=20,"Extremo",IF($H60&gt;=12,"Alto",IF($H60&gt;=6,"Medio",IF($H60&gt;=3,"Bajo","Muy bajo")))))</f>
        <v>Medio</v>
      </c>
      <c r="J60" s="5" t="str">
        <f>IFERROR(VLOOKUP($I60,'3. Escalas'!$A$21:$C$25,3,FALSE),"")</f>
        <v>Mensual (operativo) o trimestral (estructural)</v>
      </c>
      <c r="K60" s="12" t="inlineStr">
        <is>
          <t>Documentación semanal · devoluciones e indicadores mensual (ISO 9001)</t>
        </is>
      </c>
      <c r="L60" s="13" t="n"/>
      <c r="M60" s="14" t="n"/>
      <c r="N60" s="14" t="n"/>
      <c r="O60" s="15" t="n"/>
      <c r="P60" s="16" t="inlineStr">
        <is>
          <t>M-03, M-04, M-05</t>
        </is>
      </c>
    </row>
    <row r="61" ht="48" customHeight="1">
      <c r="A61" s="10" t="inlineStr">
        <is>
          <t>R-57</t>
        </is>
      </c>
      <c r="B61" s="28" t="inlineStr">
        <is>
          <t>N. Terceros</t>
        </is>
      </c>
      <c r="C61" s="5" t="inlineStr">
        <is>
          <t>CONTRATISTAS Y MONTAJE DE ESTANTERÍA. Homologación documental, inducción previa, permisos de trabajo y montaje o modificación de racks por instalador calificado con plano aprobado.</t>
        </is>
      </c>
      <c r="D61" s="12" t="inlineStr">
        <is>
          <t>Carpeta del contratista y acta de montaje.</t>
        </is>
      </c>
      <c r="E61" s="5" t="inlineStr">
        <is>
          <t>Accidente con responsabilidad solidaria; colapso posterior de la estantería</t>
        </is>
      </c>
      <c r="F61" s="13" t="n">
        <v>3</v>
      </c>
      <c r="G61" s="13" t="n">
        <v>5</v>
      </c>
      <c r="H61" s="10">
        <f>IF(OR($F61="",$G61=""),"",$F61*$G61)</f>
        <v>15</v>
      </c>
      <c r="I61" s="10" t="str">
        <f>IF($H61="","",IF($H61&gt;=20,"Extremo",IF($H61&gt;=12,"Alto",IF($H61&gt;=6,"Medio",IF($H61&gt;=3,"Bajo","Muy bajo")))))</f>
        <v>Alto</v>
      </c>
      <c r="J61" s="5" t="str">
        <f>IFERROR(VLOOKUP($I61,'3. Escalas'!$A$21:$C$25,3,FALSE),"")</f>
        <v>Semanal + inspección formal mensual</v>
      </c>
      <c r="K61" s="12" t="inlineStr">
        <is>
          <t>En cada ingreso y en cada proyecto · auditoría del programa mensual (Decreto 1072 / EN 15629)</t>
        </is>
      </c>
      <c r="L61" s="13" t="n"/>
      <c r="M61" s="14" t="n"/>
      <c r="N61" s="14" t="n"/>
      <c r="O61" s="15" t="n"/>
      <c r="P61" s="16" t="inlineStr">
        <is>
          <t>N-01, N-02</t>
        </is>
      </c>
    </row>
    <row r="62" ht="48" customHeight="1">
      <c r="A62" s="10" t="inlineStr">
        <is>
          <t>R-58</t>
        </is>
      </c>
      <c r="B62" s="28" t="inlineStr">
        <is>
          <t>N. Terceros</t>
        </is>
      </c>
      <c r="C62" s="5" t="inlineStr">
        <is>
          <t>OPERADOR LOGÍSTICO Y TRANSPORTISTAS. Contrato con indicadores y requisitos de HSE, auditoría del tercero, y documentación y estado del vehículo verificados antes del cargue.</t>
        </is>
      </c>
      <c r="D62" s="12" t="inlineStr">
        <is>
          <t>Informes de auditoría y checklist de aptitud del vehículo.</t>
        </is>
      </c>
      <c r="E62" s="5" t="inlineStr">
        <is>
          <t>Pérdida de control operativo, accidente en vía y pérdida de la carga</t>
        </is>
      </c>
      <c r="F62" s="13" t="n">
        <v>3</v>
      </c>
      <c r="G62" s="13" t="n">
        <v>4</v>
      </c>
      <c r="H62" s="10">
        <f>IF(OR($F62="",$G62=""),"",$F62*$G62)</f>
        <v>12</v>
      </c>
      <c r="I62" s="10" t="str">
        <f>IF($H62="","",IF($H62&gt;=20,"Extremo",IF($H62&gt;=12,"Alto",IF($H62&gt;=6,"Medio",IF($H62&gt;=3,"Bajo","Muy bajo")))))</f>
        <v>Alto</v>
      </c>
      <c r="J62" s="5" t="str">
        <f>IFERROR(VLOOKUP($I62,'3. Escalas'!$A$21:$C$25,3,FALSE),"")</f>
        <v>Semanal + inspección formal mensual</v>
      </c>
      <c r="K62" s="12" t="inlineStr">
        <is>
          <t>Checklist en cada cargue · evaluación del proveedor trimestral · auditoría anual (ISO 9001 / ISO 45001)</t>
        </is>
      </c>
      <c r="L62" s="13" t="n"/>
      <c r="M62" s="14" t="n"/>
      <c r="N62" s="14" t="n"/>
      <c r="O62" s="15" t="n"/>
      <c r="P62" s="16" t="inlineStr">
        <is>
          <t>N-03, N-04</t>
        </is>
      </c>
    </row>
    <row r="63" ht="48" customHeight="1">
      <c r="A63" s="10" t="inlineStr">
        <is>
          <t>R-59</t>
        </is>
      </c>
      <c r="B63" s="29" t="inlineStr">
        <is>
          <t>O. Legal y continuidad</t>
        </is>
      </c>
      <c r="C63" s="5" t="inlineStr">
        <is>
          <t>PERMISOS Y CUMPLIMIENTO SG-SST. Matriz de requisitos legales con fechas de vencimiento (bomberos, sanitario, ambiental, uso de suelo) y autoevaluación del SG-SST con su plan de trabajo ejecutado.</t>
        </is>
      </c>
      <c r="D63" s="12" t="inlineStr">
        <is>
          <t>Matriz legal y autoevaluación.</t>
        </is>
      </c>
      <c r="E63" s="5" t="inlineStr">
        <is>
          <t>Cierre del establecimiento, multas e invalidación de la póliza</t>
        </is>
      </c>
      <c r="F63" s="13" t="n">
        <v>2</v>
      </c>
      <c r="G63" s="13" t="n">
        <v>5</v>
      </c>
      <c r="H63" s="10">
        <f>IF(OR($F63="",$G63=""),"",$F63*$G63)</f>
        <v>10</v>
      </c>
      <c r="I63" s="10" t="str">
        <f>IF($H63="","",IF($H63&gt;=20,"Extremo",IF($H63&gt;=12,"Alto",IF($H63&gt;=6,"Medio",IF($H63&gt;=3,"Bajo","Muy bajo")))))</f>
        <v>Medio</v>
      </c>
      <c r="J63" s="5" t="str">
        <f>IFERROR(VLOOKUP($I63,'3. Escalas'!$A$21:$C$25,3,FALSE),"")</f>
        <v>Mensual (operativo) o trimestral (estructural)</v>
      </c>
      <c r="K63" s="12" t="inlineStr">
        <is>
          <t>Matriz legal trimestral · autoevaluación anual (Res. 0312 de 2019 / Decreto 1072)</t>
        </is>
      </c>
      <c r="L63" s="13" t="n"/>
      <c r="M63" s="14" t="n"/>
      <c r="N63" s="14" t="n"/>
      <c r="O63" s="15" t="n"/>
      <c r="P63" s="16" t="inlineStr">
        <is>
          <t>O-01, O-03</t>
        </is>
      </c>
    </row>
    <row r="64" ht="46" customHeight="1">
      <c r="A64" s="10" t="inlineStr">
        <is>
          <t>R-60</t>
        </is>
      </c>
      <c r="B64" s="29" t="inlineStr">
        <is>
          <t>O. Legal y continuidad</t>
        </is>
      </c>
      <c r="C64" s="5" t="inlineStr">
        <is>
          <t>PÓLIZA Y VALORES ASEGURADOS. Valores vs. valor de reposición, cumplimiento de las garantías de la póliza, cobertura de lucro cesante y recomendaciones de la aseguradora cerradas.</t>
        </is>
      </c>
      <c r="D64" s="12" t="inlineStr">
        <is>
          <t>Carátula de la póliza e informe de inspección.</t>
        </is>
      </c>
      <c r="E64" s="5" t="inlineStr">
        <is>
          <t>Siniestro no indemnizado que compromete la viabilidad del negocio</t>
        </is>
      </c>
      <c r="F64" s="13" t="n">
        <v>2</v>
      </c>
      <c r="G64" s="13" t="n">
        <v>5</v>
      </c>
      <c r="H64" s="10">
        <f>IF(OR($F64="",$G64=""),"",$F64*$G64)</f>
        <v>10</v>
      </c>
      <c r="I64" s="10" t="str">
        <f>IF($H64="","",IF($H64&gt;=20,"Extremo",IF($H64&gt;=12,"Alto",IF($H64&gt;=6,"Medio",IF($H64&gt;=3,"Bajo","Muy bajo")))))</f>
        <v>Medio</v>
      </c>
      <c r="J64" s="5" t="str">
        <f>IFERROR(VLOOKUP($I64,'3. Escalas'!$A$21:$C$25,3,FALSE),"")</f>
        <v>Mensual (operativo) o trimestral (estructural)</v>
      </c>
      <c r="K64" s="12" t="inlineStr">
        <is>
          <t>Anual en la renovación y ante cambios relevantes de inventario o infraestructura</t>
        </is>
      </c>
      <c r="L64" s="13" t="n"/>
      <c r="M64" s="14" t="n"/>
      <c r="N64" s="14" t="n"/>
      <c r="O64" s="15" t="n"/>
      <c r="P64" s="16" t="inlineStr">
        <is>
          <t>O-02</t>
        </is>
      </c>
    </row>
    <row r="65" ht="46" customHeight="1">
      <c r="A65" s="10" t="inlineStr">
        <is>
          <t>R-61</t>
        </is>
      </c>
      <c r="B65" s="29" t="inlineStr">
        <is>
          <t>O. Legal y continuidad</t>
        </is>
      </c>
      <c r="C65" s="5" t="inlineStr">
        <is>
          <t>CONTINUIDAD DEL NEGOCIO. BIA, RTO/RPO definidos, plan de continuidad probado, alternativas ante bloqueo o paro y acuerdos de almacenamiento de emergencia.</t>
        </is>
      </c>
      <c r="D65" s="12" t="inlineStr">
        <is>
          <t>Documento BCP y acta de prueba.</t>
        </is>
      </c>
      <c r="E65" s="5" t="inlineStr">
        <is>
          <t>Interrupción prolongada del abastecimiento y pérdida de clientes</t>
        </is>
      </c>
      <c r="F65" s="13" t="n">
        <v>3</v>
      </c>
      <c r="G65" s="13" t="n">
        <v>5</v>
      </c>
      <c r="H65" s="10">
        <f>IF(OR($F65="",$G65=""),"",$F65*$G65)</f>
        <v>15</v>
      </c>
      <c r="I65" s="10" t="str">
        <f>IF($H65="","",IF($H65&gt;=20,"Extremo",IF($H65&gt;=12,"Alto",IF($H65&gt;=6,"Medio",IF($H65&gt;=3,"Bajo","Muy bajo")))))</f>
        <v>Alto</v>
      </c>
      <c r="J65" s="5" t="str">
        <f>IFERROR(VLOOKUP($I65,'3. Escalas'!$A$21:$C$25,3,FALSE),"")</f>
        <v>Semanal + inspección formal mensual</v>
      </c>
      <c r="K65" s="12" t="inlineStr">
        <is>
          <t>Revisión y prueba del BCP anual · escenarios de bloqueo semestral (ISO 22301)</t>
        </is>
      </c>
      <c r="L65" s="13" t="n"/>
      <c r="M65" s="14" t="n"/>
      <c r="N65" s="14" t="n"/>
      <c r="O65" s="15" t="n"/>
      <c r="P65" s="16" t="inlineStr">
        <is>
          <t>O-04, O-05, O-06</t>
        </is>
      </c>
    </row>
    <row r="66" ht="46" customHeight="1">
      <c r="A66" s="10" t="inlineStr">
        <is>
          <t>R-62</t>
        </is>
      </c>
      <c r="B66" s="29" t="inlineStr">
        <is>
          <t>O. Legal y continuidad</t>
        </is>
      </c>
      <c r="C66" s="5" t="inlineStr">
        <is>
          <t>LECCIONES APRENDIDAS Y CIERRE DE ACCIONES. Investigación de todos los eventos incluidos los casi-accidentes, causa raíz, cierre y verificación de eficacia.</t>
        </is>
      </c>
      <c r="D66" s="12" t="inlineStr">
        <is>
          <t>Matriz de acciones con verificación de eficacia.</t>
        </is>
      </c>
      <c r="E66" s="5" t="inlineStr">
        <is>
          <t>Recurrencia de accidentes y pérdidas evitables</t>
        </is>
      </c>
      <c r="F66" s="13" t="n">
        <v>3</v>
      </c>
      <c r="G66" s="13" t="n">
        <v>4</v>
      </c>
      <c r="H66" s="10">
        <f>IF(OR($F66="",$G66=""),"",$F66*$G66)</f>
        <v>12</v>
      </c>
      <c r="I66" s="10" t="str">
        <f>IF($H66="","",IF($H66&gt;=20,"Extremo",IF($H66&gt;=12,"Alto",IF($H66&gt;=6,"Medio",IF($H66&gt;=3,"Bajo","Muy bajo")))))</f>
        <v>Alto</v>
      </c>
      <c r="J66" s="5" t="str">
        <f>IFERROR(VLOOKUP($I66,'3. Escalas'!$A$21:$C$25,3,FALSE),"")</f>
        <v>Semanal + inspección formal mensual</v>
      </c>
      <c r="K66" s="12" t="inlineStr">
        <is>
          <t>Revisión de eventos mensual · análisis de tendencia trimestral (ISO 45001 / ISO 31000)</t>
        </is>
      </c>
      <c r="L66" s="13" t="n"/>
      <c r="M66" s="14" t="n"/>
      <c r="N66" s="14" t="n"/>
      <c r="O66" s="15" t="n"/>
      <c r="P66" s="16" t="inlineStr">
        <is>
          <t>O-07</t>
        </is>
      </c>
    </row>
  </sheetData>
  <autoFilter ref="A4:P66"/>
  <mergeCells count="2">
    <mergeCell ref="A1:I1"/>
    <mergeCell ref="A2:M2"/>
  </mergeCells>
  <conditionalFormatting sqref="I5:I66">
    <cfRule type="cellIs" priority="1" operator="equal" dxfId="0">
      <formula>"Extremo"</formula>
    </cfRule>
    <cfRule type="cellIs" priority="2" operator="equal" dxfId="1">
      <formula>"Alto"</formula>
    </cfRule>
    <cfRule type="cellIs" priority="3" operator="equal" dxfId="2">
      <formula>"Medio"</formula>
    </cfRule>
    <cfRule type="cellIs" priority="4" operator="equal" dxfId="3">
      <formula>"Bajo"</formula>
    </cfRule>
    <cfRule type="cellIs" priority="5" operator="equal" dxfId="4">
      <formula>"Muy bajo"</formula>
    </cfRule>
  </conditionalFormatting>
  <conditionalFormatting sqref="L5:L66">
    <cfRule type="cellIs" priority="6" operator="equal" dxfId="0">
      <formula>"No"</formula>
    </cfRule>
    <cfRule type="cellIs" priority="7" operator="equal" dxfId="2">
      <formula>"Parcial"</formula>
    </cfRule>
    <cfRule type="cellIs" priority="8" operator="equal" dxfId="3">
      <formula>"Sí"</formula>
    </cfRule>
  </conditionalFormatting>
  <dataValidations count="2">
    <dataValidation sqref="F5:G66" showDropDown="0" showInputMessage="1" showErrorMessage="1" allowBlank="1" errorTitle="Valor no permitido" error="La escala va únicamente de 1 a 5. Consulte los criterios en la hoja '3. Escalas'." promptTitle="Escala 1 a 5" prompt="1 Raro · 2 Improbable · 3 Posible · 4 Probable · 5 Casi seguro" type="list" errorStyle="stop">
      <formula1>"1,2,3,4,5"</formula1>
    </dataValidation>
    <dataValidation sqref="L5:L66" showDropDown="0" showInputMessage="0" showErrorMessage="1" allowBlank="1" errorTitle="Valor no permitido" error="Seleccione una opción de la lista: Sí, Parcial, No o N.A." type="list" errorStyle="stop">
      <formula1>"Sí,Parcial,No,N.A."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2" customWidth="1" min="3" max="3"/>
    <col width="26" customWidth="1" min="4" max="4"/>
    <col width="24" customWidth="1" min="5" max="5"/>
    <col width="22" customWidth="1" min="6" max="6"/>
  </cols>
  <sheetData>
    <row r="1">
      <c r="A1" s="1" t="inlineStr">
        <is>
          <t>ESCALAS, MATRIZ Y CRITERIOS DE FRECUENCIA</t>
        </is>
      </c>
    </row>
    <row r="3" ht="20" customHeight="1">
      <c r="A3" s="3" t="inlineStr">
        <is>
          <t xml:space="preserve">  PROBABILIDAD — ¿qué tan factible es que ocurra?</t>
        </is>
      </c>
    </row>
    <row r="4" ht="26" customHeight="1">
      <c r="A4" s="7" t="inlineStr">
        <is>
          <t>Valor</t>
        </is>
      </c>
      <c r="B4" s="7" t="inlineStr">
        <is>
          <t>Descriptor</t>
        </is>
      </c>
      <c r="C4" s="7" t="inlineStr">
        <is>
          <t>Criterio de frecuencia</t>
        </is>
      </c>
      <c r="D4" s="7" t="inlineStr">
        <is>
          <t>Histórico en la instalación</t>
        </is>
      </c>
      <c r="E4" s="7" t="inlineStr">
        <is>
          <t>Estado del control</t>
        </is>
      </c>
      <c r="F4" s="30" t="n"/>
    </row>
    <row r="5" ht="25" customHeight="1">
      <c r="A5" s="10" t="n">
        <v>1</v>
      </c>
      <c r="B5" s="5" t="inlineStr">
        <is>
          <t>Raro</t>
        </is>
      </c>
      <c r="C5" s="5" t="inlineStr">
        <is>
          <t>Menos de 1 vez cada 10 años</t>
        </is>
      </c>
      <c r="D5" s="5" t="inlineStr">
        <is>
          <t>Nunca ha ocurrido aquí ni en el sector</t>
        </is>
      </c>
      <c r="E5" s="5" t="inlineStr">
        <is>
          <t>Control robusto y verificado</t>
        </is>
      </c>
      <c r="F5" s="6" t="n"/>
    </row>
    <row r="6" ht="25" customHeight="1">
      <c r="A6" s="10" t="n">
        <v>2</v>
      </c>
      <c r="B6" s="5" t="inlineStr">
        <is>
          <t>Improbable</t>
        </is>
      </c>
      <c r="C6" s="5" t="inlineStr">
        <is>
          <t>1 vez cada 5 a 10 años</t>
        </is>
      </c>
      <c r="D6" s="5" t="inlineStr">
        <is>
          <t>Ha ocurrido en el sector, no aquí</t>
        </is>
      </c>
      <c r="E6" s="5" t="inlineStr">
        <is>
          <t>Control funciona, desviaciones menores</t>
        </is>
      </c>
      <c r="F6" s="6" t="n"/>
    </row>
    <row r="7" ht="25" customHeight="1">
      <c r="A7" s="10" t="n">
        <v>3</v>
      </c>
      <c r="B7" s="5" t="inlineStr">
        <is>
          <t>Posible</t>
        </is>
      </c>
      <c r="C7" s="5" t="inlineStr">
        <is>
          <t>1 vez cada 1 a 5 años</t>
        </is>
      </c>
      <c r="D7" s="5" t="inlineStr">
        <is>
          <t>Ya ocurrió al menos una vez aquí</t>
        </is>
      </c>
      <c r="E7" s="5" t="inlineStr">
        <is>
          <t>Control existe, cumplimiento irregular</t>
        </is>
      </c>
      <c r="F7" s="6" t="n"/>
    </row>
    <row r="8" ht="25" customHeight="1">
      <c r="A8" s="10" t="n">
        <v>4</v>
      </c>
      <c r="B8" s="5" t="inlineStr">
        <is>
          <t>Probable</t>
        </is>
      </c>
      <c r="C8" s="5" t="inlineStr">
        <is>
          <t>Varias veces al año</t>
        </is>
      </c>
      <c r="D8" s="5" t="inlineStr">
        <is>
          <t>Recurrente; hay casi-accidentes</t>
        </is>
      </c>
      <c r="E8" s="5" t="inlineStr">
        <is>
          <t>Control débil o informal</t>
        </is>
      </c>
      <c r="F8" s="6" t="n"/>
    </row>
    <row r="9" ht="25" customHeight="1">
      <c r="A9" s="10" t="n">
        <v>5</v>
      </c>
      <c r="B9" s="5" t="inlineStr">
        <is>
          <t>Casi seguro</t>
        </is>
      </c>
      <c r="C9" s="5" t="inlineStr">
        <is>
          <t>Mensual o más frecuente</t>
        </is>
      </c>
      <c r="D9" s="5" t="inlineStr">
        <is>
          <t>Es parte del día a día</t>
        </is>
      </c>
      <c r="E9" s="5" t="inlineStr">
        <is>
          <t>No hay control o está fuera de servicio</t>
        </is>
      </c>
      <c r="F9" s="6" t="n"/>
    </row>
    <row r="11" ht="20" customHeight="1">
      <c r="A11" s="3" t="inlineStr">
        <is>
          <t xml:space="preserve">  IMPACTO — se toma el PEOR de los criterios</t>
        </is>
      </c>
    </row>
    <row r="12" ht="26" customHeight="1">
      <c r="A12" s="7" t="inlineStr">
        <is>
          <t>Valor</t>
        </is>
      </c>
      <c r="B12" s="7" t="inlineStr">
        <is>
          <t>Descriptor</t>
        </is>
      </c>
      <c r="C12" s="7" t="inlineStr">
        <is>
          <t>Personas</t>
        </is>
      </c>
      <c r="D12" s="7" t="inlineStr">
        <is>
          <t>Operación y continuidad</t>
        </is>
      </c>
      <c r="E12" s="7" t="inlineStr">
        <is>
          <t>Económico</t>
        </is>
      </c>
      <c r="F12" s="7" t="inlineStr">
        <is>
          <t>Legal y reputacional</t>
        </is>
      </c>
    </row>
    <row r="13" ht="25" customHeight="1">
      <c r="A13" s="10" t="n">
        <v>1</v>
      </c>
      <c r="B13" s="5" t="inlineStr">
        <is>
          <t>Insignificante</t>
        </is>
      </c>
      <c r="C13" s="5" t="inlineStr">
        <is>
          <t>Sin lesión</t>
        </is>
      </c>
      <c r="D13" s="5" t="inlineStr">
        <is>
          <t>Sin afectación del servicio</t>
        </is>
      </c>
      <c r="E13" s="5" t="inlineStr">
        <is>
          <t>Pérdida marginal</t>
        </is>
      </c>
      <c r="F13" s="5" t="inlineStr">
        <is>
          <t>Sin consecuencia externa</t>
        </is>
      </c>
    </row>
    <row r="14" ht="25" customHeight="1">
      <c r="A14" s="10" t="n">
        <v>2</v>
      </c>
      <c r="B14" s="5" t="inlineStr">
        <is>
          <t>Menor</t>
        </is>
      </c>
      <c r="C14" s="5" t="inlineStr">
        <is>
          <t>Lesión leve sin incapacidad</t>
        </is>
      </c>
      <c r="D14" s="5" t="inlineStr">
        <is>
          <t>Retraso de horas</t>
        </is>
      </c>
      <c r="E14" s="5" t="inlineStr">
        <is>
          <t>Cubierta por el presupuesto</t>
        </is>
      </c>
      <c r="F14" s="5" t="inlineStr">
        <is>
          <t>Observación de auditoría</t>
        </is>
      </c>
    </row>
    <row r="15" ht="25" customHeight="1">
      <c r="A15" s="10" t="n">
        <v>3</v>
      </c>
      <c r="B15" s="5" t="inlineStr">
        <is>
          <t>Moderado</t>
        </is>
      </c>
      <c r="C15" s="5" t="inlineStr">
        <is>
          <t>Incapacidad temporal</t>
        </is>
      </c>
      <c r="D15" s="5" t="inlineStr">
        <is>
          <t>Paro de un turno o proceso</t>
        </is>
      </c>
      <c r="E15" s="5" t="inlineStr">
        <is>
          <t>Afecta el resultado del mes</t>
        </is>
      </c>
      <c r="F15" s="5" t="inlineStr">
        <is>
          <t>Requerimiento de autoridad o reclamo</t>
        </is>
      </c>
    </row>
    <row r="16" ht="25" customHeight="1">
      <c r="A16" s="10" t="n">
        <v>4</v>
      </c>
      <c r="B16" s="5" t="inlineStr">
        <is>
          <t>Mayor</t>
        </is>
      </c>
      <c r="C16" s="5" t="inlineStr">
        <is>
          <t>Lesión grave o varios lesionados</t>
        </is>
      </c>
      <c r="D16" s="5" t="inlineStr">
        <is>
          <t>Paro de varios días</t>
        </is>
      </c>
      <c r="E16" s="5" t="inlineStr">
        <is>
          <t>Supera el deducible; afecta el año</t>
        </is>
      </c>
      <c r="F16" s="5" t="inlineStr">
        <is>
          <t>Sanción y daño reputacional</t>
        </is>
      </c>
    </row>
    <row r="17" ht="25" customHeight="1">
      <c r="A17" s="10" t="n">
        <v>5</v>
      </c>
      <c r="B17" s="5" t="inlineStr">
        <is>
          <t>Catastrófico</t>
        </is>
      </c>
      <c r="C17" s="5" t="inlineStr">
        <is>
          <t>Una o varias fatalidades</t>
        </is>
      </c>
      <c r="D17" s="5" t="inlineStr">
        <is>
          <t>Pérdida del CEDI</t>
        </is>
      </c>
      <c r="E17" s="5" t="inlineStr">
        <is>
          <t>Pérdida total o no asegurada</t>
        </is>
      </c>
      <c r="F17" s="5" t="inlineStr">
        <is>
          <t>Cierre, responsabilidad penal, recall</t>
        </is>
      </c>
    </row>
    <row r="19" ht="20" customHeight="1">
      <c r="A19" s="3" t="inlineStr">
        <is>
          <t xml:space="preserve">  NIVEL DE RIESGO → CADA CUÁNTO REVISAR, EN CUÁNTO ACTUAR Y QUIÉN LO ACEPTA</t>
        </is>
      </c>
    </row>
    <row r="20" ht="30" customHeight="1">
      <c r="A20" s="7" t="inlineStr">
        <is>
          <t>Nivel</t>
        </is>
      </c>
      <c r="B20" s="7" t="inlineStr">
        <is>
          <t>Rango (P × I)</t>
        </is>
      </c>
      <c r="C20" s="7" t="inlineStr">
        <is>
          <t>Frecuencia mínima de verificación</t>
        </is>
      </c>
      <c r="D20" s="7" t="inlineStr">
        <is>
          <t>Reevaluar el riesgo</t>
        </is>
      </c>
      <c r="E20" s="7" t="inlineStr">
        <is>
          <t>Plazo del plan de acción</t>
        </is>
      </c>
      <c r="F20" s="7" t="inlineStr">
        <is>
          <t>Quién acepta el riesgo</t>
        </is>
      </c>
    </row>
    <row r="21" ht="37.5" customHeight="1">
      <c r="A21" s="31" t="inlineStr">
        <is>
          <t>Extremo</t>
        </is>
      </c>
      <c r="B21" s="32" t="inlineStr">
        <is>
          <t>20 - 25</t>
        </is>
      </c>
      <c r="C21" s="5" t="inlineStr">
        <is>
          <t>Diaria o por turno + inspección formal semanal</t>
        </is>
      </c>
      <c r="D21" s="5" t="inlineStr">
        <is>
          <t>Mensual</t>
        </is>
      </c>
      <c r="E21" s="5" t="inlineStr">
        <is>
          <t>≤ 15 días · se interviene o se suspende la actividad</t>
        </is>
      </c>
      <c r="F21" s="5" t="inlineStr">
        <is>
          <t>Gerencia / Dirección</t>
        </is>
      </c>
    </row>
    <row r="22" ht="28" customHeight="1">
      <c r="A22" s="33" t="inlineStr">
        <is>
          <t>Alto</t>
        </is>
      </c>
      <c r="B22" s="32" t="inlineStr">
        <is>
          <t>12 - 16</t>
        </is>
      </c>
      <c r="C22" s="5" t="inlineStr">
        <is>
          <t>Semanal + inspección formal mensual</t>
        </is>
      </c>
      <c r="D22" s="5" t="inlineStr">
        <is>
          <t>Trimestral</t>
        </is>
      </c>
      <c r="E22" s="5" t="inlineStr">
        <is>
          <t>≤ 30 días</t>
        </is>
      </c>
      <c r="F22" s="5" t="inlineStr">
        <is>
          <t>Jefe de CEDI con visto bueno de HSE</t>
        </is>
      </c>
    </row>
    <row r="23" ht="28" customHeight="1">
      <c r="A23" s="34" t="inlineStr">
        <is>
          <t>Medio</t>
        </is>
      </c>
      <c r="B23" s="32" t="inlineStr">
        <is>
          <t>6 - 10</t>
        </is>
      </c>
      <c r="C23" s="5" t="inlineStr">
        <is>
          <t>Mensual (operativo) o trimestral (estructural)</t>
        </is>
      </c>
      <c r="D23" s="5" t="inlineStr">
        <is>
          <t>Semestral</t>
        </is>
      </c>
      <c r="E23" s="5" t="inlineStr">
        <is>
          <t>≤ 90 días</t>
        </is>
      </c>
      <c r="F23" s="5" t="inlineStr">
        <is>
          <t>Jefe de CEDI</t>
        </is>
      </c>
    </row>
    <row r="24" ht="28" customHeight="1">
      <c r="A24" s="35" t="inlineStr">
        <is>
          <t>Bajo</t>
        </is>
      </c>
      <c r="B24" s="32" t="inlineStr">
        <is>
          <t>3 - 5</t>
        </is>
      </c>
      <c r="C24" s="5" t="inlineStr">
        <is>
          <t>Semestral</t>
        </is>
      </c>
      <c r="D24" s="5" t="inlineStr">
        <is>
          <t>Anual</t>
        </is>
      </c>
      <c r="E24" s="5" t="inlineStr">
        <is>
          <t>Siguiente ciclo presupuestal</t>
        </is>
      </c>
      <c r="F24" s="5" t="inlineStr">
        <is>
          <t>Coordinador del proceso</t>
        </is>
      </c>
    </row>
    <row r="25" ht="28" customHeight="1">
      <c r="A25" s="36" t="inlineStr">
        <is>
          <t>Muy bajo</t>
        </is>
      </c>
      <c r="B25" s="32" t="inlineStr">
        <is>
          <t>1 - 2</t>
        </is>
      </c>
      <c r="C25" s="5" t="inlineStr">
        <is>
          <t>Anual</t>
        </is>
      </c>
      <c r="D25" s="5" t="inlineStr">
        <is>
          <t>Anual</t>
        </is>
      </c>
      <c r="E25" s="5" t="inlineStr">
        <is>
          <t>Solo monitoreo</t>
        </is>
      </c>
      <c r="F25" s="5" t="inlineStr">
        <is>
          <t>Coordinador del proceso</t>
        </is>
      </c>
    </row>
    <row r="27" ht="20" customHeight="1">
      <c r="A27" s="3" t="inlineStr">
        <is>
          <t xml:space="preserve">  MATRIZ 5 × 5   (filas = Probabilidad · columnas = Impacto)</t>
        </is>
      </c>
    </row>
    <row r="28">
      <c r="A28" s="7" t="inlineStr">
        <is>
          <t>P \ I</t>
        </is>
      </c>
      <c r="B28" s="7" t="n">
        <v>1</v>
      </c>
      <c r="C28" s="7" t="n">
        <v>2</v>
      </c>
      <c r="D28" s="7" t="n">
        <v>3</v>
      </c>
      <c r="E28" s="7" t="n">
        <v>4</v>
      </c>
      <c r="F28" s="7" t="n">
        <v>5</v>
      </c>
    </row>
    <row r="29" ht="18" customHeight="1">
      <c r="A29" s="7" t="n">
        <v>5</v>
      </c>
      <c r="B29" s="37" t="n">
        <v>5</v>
      </c>
      <c r="C29" s="38" t="n">
        <v>10</v>
      </c>
      <c r="D29" s="39" t="n">
        <v>15</v>
      </c>
      <c r="E29" s="40" t="n">
        <v>20</v>
      </c>
      <c r="F29" s="40" t="n">
        <v>25</v>
      </c>
    </row>
    <row r="30" ht="18" customHeight="1">
      <c r="A30" s="7" t="n">
        <v>4</v>
      </c>
      <c r="B30" s="37" t="n">
        <v>4</v>
      </c>
      <c r="C30" s="38" t="n">
        <v>8</v>
      </c>
      <c r="D30" s="39" t="n">
        <v>12</v>
      </c>
      <c r="E30" s="39" t="n">
        <v>16</v>
      </c>
      <c r="F30" s="40" t="n">
        <v>20</v>
      </c>
    </row>
    <row r="31" ht="18" customHeight="1">
      <c r="A31" s="7" t="n">
        <v>3</v>
      </c>
      <c r="B31" s="37" t="n">
        <v>3</v>
      </c>
      <c r="C31" s="38" t="n">
        <v>6</v>
      </c>
      <c r="D31" s="38" t="n">
        <v>9</v>
      </c>
      <c r="E31" s="39" t="n">
        <v>12</v>
      </c>
      <c r="F31" s="39" t="n">
        <v>15</v>
      </c>
    </row>
    <row r="32" ht="18" customHeight="1">
      <c r="A32" s="7" t="n">
        <v>2</v>
      </c>
      <c r="B32" s="41" t="n">
        <v>2</v>
      </c>
      <c r="C32" s="37" t="n">
        <v>4</v>
      </c>
      <c r="D32" s="38" t="n">
        <v>6</v>
      </c>
      <c r="E32" s="38" t="n">
        <v>8</v>
      </c>
      <c r="F32" s="38" t="n">
        <v>10</v>
      </c>
    </row>
    <row r="33" ht="18" customHeight="1">
      <c r="A33" s="7" t="n">
        <v>1</v>
      </c>
      <c r="B33" s="41" t="n">
        <v>1</v>
      </c>
      <c r="C33" s="41" t="n">
        <v>2</v>
      </c>
      <c r="D33" s="37" t="n">
        <v>3</v>
      </c>
      <c r="E33" s="37" t="n">
        <v>4</v>
      </c>
      <c r="F33" s="37" t="n">
        <v>5</v>
      </c>
    </row>
    <row r="34">
      <c r="A34" s="42" t="inlineStr">
        <is>
          <t>Si el escenario puede causar una fatalidad, califique el impacto en 5 aunque la probabilidad sea baja: ese riesgo se gestiona por severidad, no por frecuencia.</t>
        </is>
      </c>
    </row>
    <row r="36" ht="20" customHeight="1">
      <c r="A36" s="3" t="inlineStr">
        <is>
          <t xml:space="preserve">  DISPARADORES DE REVISIÓN EXTRAORDINARIA — obligan a revisar de inmediato, sin esperar la frecuencia</t>
        </is>
      </c>
    </row>
    <row r="37" ht="22" customHeight="1">
      <c r="A37" s="7" t="inlineStr">
        <is>
          <t>Disparador</t>
        </is>
      </c>
      <c r="B37" s="7" t="inlineStr">
        <is>
          <t>Acción inmediata exigida</t>
        </is>
      </c>
      <c r="C37" s="43" t="n"/>
      <c r="D37" s="43" t="n"/>
      <c r="E37" s="43" t="n"/>
      <c r="F37" s="30" t="n"/>
    </row>
    <row r="38" ht="25" customHeight="1">
      <c r="A38" s="4" t="inlineStr">
        <is>
          <t>Sismo sentido</t>
        </is>
      </c>
      <c r="B38" s="5" t="inlineStr">
        <is>
          <t>Inspección estructural y de estantería antes de reanudar; no se reingresa personal sin concepto técnico.</t>
        </is>
      </c>
      <c r="C38" s="6" t="n"/>
      <c r="D38" s="6" t="n"/>
      <c r="E38" s="6" t="n"/>
      <c r="F38" s="6" t="n"/>
    </row>
    <row r="39" ht="25" customHeight="1">
      <c r="A39" s="4" t="inlineStr">
        <is>
          <t>Incendio o conato</t>
        </is>
      </c>
      <c r="B39" s="5" t="inlineStr">
        <is>
          <t>Investigación de causa, revisión de la carga de fuego y verificación integral del sistema de protección.</t>
        </is>
      </c>
      <c r="C39" s="6" t="n"/>
      <c r="D39" s="6" t="n"/>
      <c r="E39" s="6" t="n"/>
      <c r="F39" s="6" t="n"/>
    </row>
    <row r="40" ht="37.5" customHeight="1">
      <c r="A40" s="4" t="inlineStr">
        <is>
          <t>Impacto contra estantería</t>
        </is>
      </c>
      <c r="B40" s="5" t="inlineStr">
        <is>
          <t>Descarga inmediata del módulo, evaluación verde / ámbar / rojo y reparación con repuesto original.</t>
        </is>
      </c>
      <c r="C40" s="6" t="n"/>
      <c r="D40" s="6" t="n"/>
      <c r="E40" s="6" t="n"/>
      <c r="F40" s="6" t="n"/>
    </row>
    <row r="41" ht="62.5" customHeight="1">
      <c r="A41" s="4" t="inlineStr">
        <is>
          <t>Accidente grave o casi-accidente de alto potencial</t>
        </is>
      </c>
      <c r="B41" s="5" t="inlineStr">
        <is>
          <t>Causa raíz y recalificación de todos los riesgos de la misma familia.</t>
        </is>
      </c>
      <c r="C41" s="6" t="n"/>
      <c r="D41" s="6" t="n"/>
      <c r="E41" s="6" t="n"/>
      <c r="F41" s="6" t="n"/>
    </row>
    <row r="42" ht="25" customHeight="1">
      <c r="A42" s="4" t="inlineStr">
        <is>
          <t>Inundación o vendaval</t>
        </is>
      </c>
      <c r="B42" s="5" t="inlineStr">
        <is>
          <t>Revisión de cubierta, drenajes, instalación eléctrica y producto almacenado en piso.</t>
        </is>
      </c>
      <c r="C42" s="6" t="n"/>
      <c r="D42" s="6" t="n"/>
      <c r="E42" s="6" t="n"/>
      <c r="F42" s="6" t="n"/>
    </row>
    <row r="43" ht="62.5" customHeight="1">
      <c r="A43" s="4" t="inlineStr">
        <is>
          <t>Cambio de layout, de altura o de sistema de almacenamiento</t>
        </is>
      </c>
      <c r="B43" s="5" t="inlineStr">
        <is>
          <t>Recálculo estructural, revisión del diseño contra incendio y actualización de planos y placas.</t>
        </is>
      </c>
      <c r="C43" s="6" t="n"/>
      <c r="D43" s="6" t="n"/>
      <c r="E43" s="6" t="n"/>
      <c r="F43" s="6" t="n"/>
    </row>
    <row r="44" ht="62.5" customHeight="1">
      <c r="A44" s="4" t="inlineStr">
        <is>
          <t>Cambio de portafolio (plásticos, aerosoles, litio, químicos)</t>
        </is>
      </c>
      <c r="B44" s="5" t="inlineStr">
        <is>
          <t>Reclasificación de la mercancía y validación de rociadores y segregación.</t>
        </is>
      </c>
      <c r="C44" s="6" t="n"/>
      <c r="D44" s="6" t="n"/>
      <c r="E44" s="6" t="n"/>
      <c r="F44" s="6" t="n"/>
    </row>
    <row r="45" ht="37.5" customHeight="1">
      <c r="A45" s="4" t="inlineStr">
        <is>
          <t>Nuevo tipo de equipo de manipulación</t>
        </is>
      </c>
      <c r="B45" s="5" t="inlineStr">
        <is>
          <t>Revisión de flujos, ancho de pasillo, planitud del piso y certificación de operadores.</t>
        </is>
      </c>
      <c r="C45" s="6" t="n"/>
      <c r="D45" s="6" t="n"/>
      <c r="E45" s="6" t="n"/>
      <c r="F45" s="6" t="n"/>
    </row>
    <row r="46" ht="50" customHeight="1">
      <c r="A46" s="4" t="inlineStr">
        <is>
          <t>Pico estacional o alza sostenida del volumen</t>
        </is>
      </c>
      <c r="B46" s="5" t="inlineStr">
        <is>
          <t>Revisión de ocupación, capacidad, personal temporal, inducción y bloqueo de pasillos.</t>
        </is>
      </c>
      <c r="C46" s="6" t="n"/>
      <c r="D46" s="6" t="n"/>
      <c r="E46" s="6" t="n"/>
      <c r="F46" s="6" t="n"/>
    </row>
    <row r="47" ht="62.5" customHeight="1">
      <c r="A47" s="4" t="inlineStr">
        <is>
          <t>Cambio de contratista crítico, 3PL o transportista</t>
        </is>
      </c>
      <c r="B47" s="5" t="inlineStr">
        <is>
          <t>Homologación, auditoría inicial y revisión de responsabilidades.</t>
        </is>
      </c>
      <c r="C47" s="6" t="n"/>
      <c r="D47" s="6" t="n"/>
      <c r="E47" s="6" t="n"/>
      <c r="F47" s="6" t="n"/>
    </row>
    <row r="48" ht="75" customHeight="1">
      <c r="A48" s="4" t="inlineStr">
        <is>
          <t>Cambio normativo o nueva exigencia de la aseguradora o del cliente</t>
        </is>
      </c>
      <c r="B48" s="5" t="inlineStr">
        <is>
          <t>Actualización de la matriz legal y cierre de las nuevas recomendaciones.</t>
        </is>
      </c>
      <c r="C48" s="6" t="n"/>
      <c r="D48" s="6" t="n"/>
      <c r="E48" s="6" t="n"/>
      <c r="F48" s="6" t="n"/>
    </row>
    <row r="49" ht="75" customHeight="1">
      <c r="A49" s="4" t="inlineStr">
        <is>
          <t>Siniestro relevante en otra instalación de la compañía o del sector</t>
        </is>
      </c>
      <c r="B49" s="5" t="inlineStr">
        <is>
          <t>Autoevaluación del mismo escenario y verificación de los controles equivalentes.</t>
        </is>
      </c>
      <c r="C49" s="6" t="n"/>
      <c r="D49" s="6" t="n"/>
      <c r="E49" s="6" t="n"/>
      <c r="F49" s="6" t="n"/>
    </row>
    <row r="51" ht="20" customHeight="1">
      <c r="A51" s="3" t="inlineStr">
        <is>
          <t xml:space="preserve">  VERIFICACIONES PLURIANUALES — no caben en el ciclo diario o mensual pero son obligatorias</t>
        </is>
      </c>
    </row>
    <row r="52" ht="22" customHeight="1">
      <c r="A52" s="7" t="inlineStr">
        <is>
          <t>Cada</t>
        </is>
      </c>
      <c r="B52" s="7" t="inlineStr">
        <is>
          <t>Verificación</t>
        </is>
      </c>
      <c r="C52" s="30" t="n"/>
      <c r="D52" s="7" t="inlineStr">
        <is>
          <t>Norma</t>
        </is>
      </c>
      <c r="E52" s="43" t="n"/>
      <c r="F52" s="30" t="n"/>
    </row>
    <row r="53" ht="22" customHeight="1">
      <c r="A53" s="10" t="inlineStr">
        <is>
          <t>5 años</t>
        </is>
      </c>
      <c r="B53" s="5" t="inlineStr">
        <is>
          <t>Inspección interna de la tubería del sistema de rociadores</t>
        </is>
      </c>
      <c r="C53" s="6" t="n"/>
      <c r="D53" s="5" t="inlineStr">
        <is>
          <t>NFPA 25</t>
        </is>
      </c>
      <c r="E53" s="6" t="n"/>
      <c r="F53" s="6" t="n"/>
    </row>
    <row r="54" ht="22" customHeight="1">
      <c r="A54" s="10" t="inlineStr">
        <is>
          <t>5 años</t>
        </is>
      </c>
      <c r="B54" s="5" t="inlineStr">
        <is>
          <t>Prueba de presión o reemplazo de mangueras contra incendio</t>
        </is>
      </c>
      <c r="C54" s="6" t="n"/>
      <c r="D54" s="5" t="inlineStr">
        <is>
          <t>NFPA 1962</t>
        </is>
      </c>
      <c r="E54" s="6" t="n"/>
      <c r="F54" s="6" t="n"/>
    </row>
    <row r="55" ht="22" customHeight="1">
      <c r="A55" s="10" t="inlineStr">
        <is>
          <t>5 a 12 años</t>
        </is>
      </c>
      <c r="B55" s="5" t="inlineStr">
        <is>
          <t>Prueba hidrostática de extintores según el tipo de agente</t>
        </is>
      </c>
      <c r="C55" s="6" t="n"/>
      <c r="D55" s="5" t="inlineStr">
        <is>
          <t>NFPA 10</t>
        </is>
      </c>
      <c r="E55" s="6" t="n"/>
      <c r="F55" s="6" t="n"/>
    </row>
    <row r="56" ht="25" customHeight="1">
      <c r="A56" s="10" t="inlineStr">
        <is>
          <t>1 a 3 años</t>
        </is>
      </c>
      <c r="B56" s="5" t="inlineStr">
        <is>
          <t>Evaluación de vulnerabilidad estructural del edificio (y tras cada sismo)</t>
        </is>
      </c>
      <c r="C56" s="6" t="n"/>
      <c r="D56" s="5" t="inlineStr">
        <is>
          <t>NSR-10 / ASCE 41</t>
        </is>
      </c>
      <c r="E56" s="6" t="n"/>
      <c r="F56" s="6" t="n"/>
    </row>
    <row r="57" ht="25" customHeight="1">
      <c r="A57" s="10" t="inlineStr">
        <is>
          <t>2 a 3 años</t>
        </is>
      </c>
      <c r="B57" s="5" t="inlineStr">
        <is>
          <t>Medición de planitud del piso (perfilometría) en pasillos de operación</t>
        </is>
      </c>
      <c r="C57" s="6" t="n"/>
      <c r="D57" s="5" t="inlineStr">
        <is>
          <t>EN 15620 / TR34 / DIN 15185</t>
        </is>
      </c>
      <c r="E57" s="6" t="n"/>
      <c r="F57" s="6" t="n"/>
    </row>
    <row r="58" ht="22" customHeight="1">
      <c r="A58" s="10" t="inlineStr">
        <is>
          <t>3 años</t>
        </is>
      </c>
      <c r="B58" s="5" t="inlineStr">
        <is>
          <t>Recertificación de operadores de equipos de manipulación</t>
        </is>
      </c>
      <c r="C58" s="6" t="n"/>
      <c r="D58" s="5" t="inlineStr">
        <is>
          <t>OSHA 1910.178(l)(4)</t>
        </is>
      </c>
      <c r="E58" s="6" t="n"/>
      <c r="F58" s="6" t="n"/>
    </row>
    <row r="59" ht="22" customHeight="1">
      <c r="A59" s="10" t="inlineStr">
        <is>
          <t>1 a 2 años</t>
        </is>
      </c>
      <c r="B59" s="5" t="inlineStr">
        <is>
          <t>Prueba de intrusión (pentest) y mediciones higiénicas</t>
        </is>
      </c>
      <c r="C59" s="6" t="n"/>
      <c r="D59" s="5" t="inlineStr">
        <is>
          <t>ISO 27001 / SG-SST</t>
        </is>
      </c>
      <c r="E59" s="6" t="n"/>
      <c r="F59" s="6" t="n"/>
    </row>
    <row r="60" ht="25" customHeight="1">
      <c r="A60" s="10" t="inlineStr">
        <is>
          <t>Ante cambio</t>
        </is>
      </c>
      <c r="B60" s="5" t="inlineStr">
        <is>
          <t>Estudio de capacidad del piso al cambiar de sistema de almacenamiento o de equipos</t>
        </is>
      </c>
      <c r="C60" s="6" t="n"/>
      <c r="D60" s="5" t="inlineStr">
        <is>
          <t>EN 15620</t>
        </is>
      </c>
      <c r="E60" s="6" t="n"/>
      <c r="F60" s="6" t="n"/>
    </row>
  </sheetData>
  <mergeCells count="44">
    <mergeCell ref="B54:C54"/>
    <mergeCell ref="B47:F47"/>
    <mergeCell ref="B59:C59"/>
    <mergeCell ref="A27:F27"/>
    <mergeCell ref="E5:F5"/>
    <mergeCell ref="B46:F46"/>
    <mergeCell ref="A3:F3"/>
    <mergeCell ref="D53:F53"/>
    <mergeCell ref="B56:C56"/>
    <mergeCell ref="E8:F8"/>
    <mergeCell ref="B58:C58"/>
    <mergeCell ref="E4:F4"/>
    <mergeCell ref="B43:F43"/>
    <mergeCell ref="B39:F39"/>
    <mergeCell ref="B52:C52"/>
    <mergeCell ref="B48:F48"/>
    <mergeCell ref="B42:F42"/>
    <mergeCell ref="D56:F56"/>
    <mergeCell ref="D58:F58"/>
    <mergeCell ref="B60:C60"/>
    <mergeCell ref="B57:C57"/>
    <mergeCell ref="E9:F9"/>
    <mergeCell ref="B53:C53"/>
    <mergeCell ref="D55:F55"/>
    <mergeCell ref="B44:F44"/>
    <mergeCell ref="E6:F6"/>
    <mergeCell ref="B38:F38"/>
    <mergeCell ref="A19:F19"/>
    <mergeCell ref="D54:F54"/>
    <mergeCell ref="B37:F37"/>
    <mergeCell ref="A34:F34"/>
    <mergeCell ref="D59:F59"/>
    <mergeCell ref="D60:F60"/>
    <mergeCell ref="B40:F40"/>
    <mergeCell ref="B49:F49"/>
    <mergeCell ref="B55:C55"/>
    <mergeCell ref="A11:F11"/>
    <mergeCell ref="A51:F51"/>
    <mergeCell ref="A36:F36"/>
    <mergeCell ref="E7:F7"/>
    <mergeCell ref="B45:F45"/>
    <mergeCell ref="D52:F52"/>
    <mergeCell ref="B41:F41"/>
    <mergeCell ref="D57:F5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L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42" customWidth="1" min="3" max="3"/>
    <col width="11" customWidth="1" min="4" max="4"/>
    <col width="48" customWidth="1" min="5" max="5"/>
    <col width="15" customWidth="1" min="6" max="6"/>
    <col width="20" customWidth="1" min="7" max="7"/>
    <col width="13" customWidth="1" min="8" max="8"/>
    <col width="13" customWidth="1" min="9" max="9"/>
    <col width="9" customWidth="1" min="10" max="10"/>
    <col width="30" customWidth="1" min="11" max="11"/>
    <col width="12" customWidth="1" min="12" max="12"/>
  </cols>
  <sheetData>
    <row r="1">
      <c r="A1" s="1" t="inlineStr">
        <is>
          <t>PLAN DE ACCIÓN — CIERRE DE HALLAZGOS</t>
        </is>
      </c>
    </row>
    <row r="2">
      <c r="A2" s="2" t="inlineStr">
        <is>
          <t>Todo 'No' o 'Parcial' de la matriz se traslada aquí. El plazo lo fija el nivel del riesgo: Extremo ≤ 15 días · Alto ≤ 30 días · Medio ≤ 90 días.</t>
        </is>
      </c>
    </row>
    <row r="4" ht="40" customHeight="1">
      <c r="A4" s="7" t="inlineStr">
        <is>
          <t>N°</t>
        </is>
      </c>
      <c r="B4" s="7" t="inlineStr">
        <is>
          <t>ID riesgo</t>
        </is>
      </c>
      <c r="C4" s="7" t="inlineStr">
        <is>
          <t>Hallazgo detectado</t>
        </is>
      </c>
      <c r="D4" s="7" t="inlineStr">
        <is>
          <t>Nivel</t>
        </is>
      </c>
      <c r="E4" s="7" t="inlineStr">
        <is>
          <t>Acción correctiva o preventiva</t>
        </is>
      </c>
      <c r="F4" s="7" t="inlineStr">
        <is>
          <t>Tipo de acción</t>
        </is>
      </c>
      <c r="G4" s="7" t="inlineStr">
        <is>
          <t>Responsable</t>
        </is>
      </c>
      <c r="H4" s="7" t="inlineStr">
        <is>
          <t>Fecha compromiso</t>
        </is>
      </c>
      <c r="I4" s="7" t="inlineStr">
        <is>
          <t>Fecha de cierre</t>
        </is>
      </c>
      <c r="J4" s="7" t="inlineStr">
        <is>
          <t>% avance</t>
        </is>
      </c>
      <c r="K4" s="7" t="inlineStr">
        <is>
          <t>Verificación de eficacia (cómo se comprueba)</t>
        </is>
      </c>
      <c r="L4" s="7" t="inlineStr">
        <is>
          <t>Estado</t>
        </is>
      </c>
    </row>
    <row r="5" ht="28" customHeight="1">
      <c r="A5" s="32" t="n">
        <v>1</v>
      </c>
      <c r="B5" s="13" t="n"/>
      <c r="C5" s="14" t="n"/>
      <c r="D5" s="13" t="n"/>
      <c r="E5" s="14" t="n"/>
      <c r="F5" s="13" t="n"/>
      <c r="G5" s="14" t="n"/>
      <c r="H5" s="15" t="n"/>
      <c r="I5" s="15" t="n"/>
      <c r="J5" s="44" t="n"/>
      <c r="K5" s="14" t="n"/>
      <c r="L5" s="13" t="n"/>
    </row>
    <row r="6" ht="28" customHeight="1">
      <c r="A6" s="32" t="n">
        <v>2</v>
      </c>
      <c r="B6" s="13" t="n"/>
      <c r="C6" s="14" t="n"/>
      <c r="D6" s="13" t="n"/>
      <c r="E6" s="14" t="n"/>
      <c r="F6" s="13" t="n"/>
      <c r="G6" s="14" t="n"/>
      <c r="H6" s="15" t="n"/>
      <c r="I6" s="15" t="n"/>
      <c r="J6" s="44" t="n"/>
      <c r="K6" s="14" t="n"/>
      <c r="L6" s="13" t="n"/>
    </row>
    <row r="7" ht="28" customHeight="1">
      <c r="A7" s="32" t="n">
        <v>3</v>
      </c>
      <c r="B7" s="13" t="n"/>
      <c r="C7" s="14" t="n"/>
      <c r="D7" s="13" t="n"/>
      <c r="E7" s="14" t="n"/>
      <c r="F7" s="13" t="n"/>
      <c r="G7" s="14" t="n"/>
      <c r="H7" s="15" t="n"/>
      <c r="I7" s="15" t="n"/>
      <c r="J7" s="44" t="n"/>
      <c r="K7" s="14" t="n"/>
      <c r="L7" s="13" t="n"/>
    </row>
    <row r="8" ht="28" customHeight="1">
      <c r="A8" s="32" t="n">
        <v>4</v>
      </c>
      <c r="B8" s="13" t="n"/>
      <c r="C8" s="14" t="n"/>
      <c r="D8" s="13" t="n"/>
      <c r="E8" s="14" t="n"/>
      <c r="F8" s="13" t="n"/>
      <c r="G8" s="14" t="n"/>
      <c r="H8" s="15" t="n"/>
      <c r="I8" s="15" t="n"/>
      <c r="J8" s="44" t="n"/>
      <c r="K8" s="14" t="n"/>
      <c r="L8" s="13" t="n"/>
    </row>
    <row r="9" ht="28" customHeight="1">
      <c r="A9" s="32" t="n">
        <v>5</v>
      </c>
      <c r="B9" s="13" t="n"/>
      <c r="C9" s="14" t="n"/>
      <c r="D9" s="13" t="n"/>
      <c r="E9" s="14" t="n"/>
      <c r="F9" s="13" t="n"/>
      <c r="G9" s="14" t="n"/>
      <c r="H9" s="15" t="n"/>
      <c r="I9" s="15" t="n"/>
      <c r="J9" s="44" t="n"/>
      <c r="K9" s="14" t="n"/>
      <c r="L9" s="13" t="n"/>
    </row>
    <row r="10" ht="28" customHeight="1">
      <c r="A10" s="32" t="n">
        <v>6</v>
      </c>
      <c r="B10" s="13" t="n"/>
      <c r="C10" s="14" t="n"/>
      <c r="D10" s="13" t="n"/>
      <c r="E10" s="14" t="n"/>
      <c r="F10" s="13" t="n"/>
      <c r="G10" s="14" t="n"/>
      <c r="H10" s="15" t="n"/>
      <c r="I10" s="15" t="n"/>
      <c r="J10" s="44" t="n"/>
      <c r="K10" s="14" t="n"/>
      <c r="L10" s="13" t="n"/>
    </row>
    <row r="11" ht="28" customHeight="1">
      <c r="A11" s="32" t="n">
        <v>7</v>
      </c>
      <c r="B11" s="13" t="n"/>
      <c r="C11" s="14" t="n"/>
      <c r="D11" s="13" t="n"/>
      <c r="E11" s="14" t="n"/>
      <c r="F11" s="13" t="n"/>
      <c r="G11" s="14" t="n"/>
      <c r="H11" s="15" t="n"/>
      <c r="I11" s="15" t="n"/>
      <c r="J11" s="44" t="n"/>
      <c r="K11" s="14" t="n"/>
      <c r="L11" s="13" t="n"/>
    </row>
    <row r="12" ht="28" customHeight="1">
      <c r="A12" s="32" t="n">
        <v>8</v>
      </c>
      <c r="B12" s="13" t="n"/>
      <c r="C12" s="14" t="n"/>
      <c r="D12" s="13" t="n"/>
      <c r="E12" s="14" t="n"/>
      <c r="F12" s="13" t="n"/>
      <c r="G12" s="14" t="n"/>
      <c r="H12" s="15" t="n"/>
      <c r="I12" s="15" t="n"/>
      <c r="J12" s="44" t="n"/>
      <c r="K12" s="14" t="n"/>
      <c r="L12" s="13" t="n"/>
    </row>
    <row r="13" ht="28" customHeight="1">
      <c r="A13" s="32" t="n">
        <v>9</v>
      </c>
      <c r="B13" s="13" t="n"/>
      <c r="C13" s="14" t="n"/>
      <c r="D13" s="13" t="n"/>
      <c r="E13" s="14" t="n"/>
      <c r="F13" s="13" t="n"/>
      <c r="G13" s="14" t="n"/>
      <c r="H13" s="15" t="n"/>
      <c r="I13" s="15" t="n"/>
      <c r="J13" s="44" t="n"/>
      <c r="K13" s="14" t="n"/>
      <c r="L13" s="13" t="n"/>
    </row>
    <row r="14" ht="28" customHeight="1">
      <c r="A14" s="32" t="n">
        <v>10</v>
      </c>
      <c r="B14" s="13" t="n"/>
      <c r="C14" s="14" t="n"/>
      <c r="D14" s="13" t="n"/>
      <c r="E14" s="14" t="n"/>
      <c r="F14" s="13" t="n"/>
      <c r="G14" s="14" t="n"/>
      <c r="H14" s="15" t="n"/>
      <c r="I14" s="15" t="n"/>
      <c r="J14" s="44" t="n"/>
      <c r="K14" s="14" t="n"/>
      <c r="L14" s="13" t="n"/>
    </row>
    <row r="15" ht="28" customHeight="1">
      <c r="A15" s="32" t="n">
        <v>11</v>
      </c>
      <c r="B15" s="13" t="n"/>
      <c r="C15" s="14" t="n"/>
      <c r="D15" s="13" t="n"/>
      <c r="E15" s="14" t="n"/>
      <c r="F15" s="13" t="n"/>
      <c r="G15" s="14" t="n"/>
      <c r="H15" s="15" t="n"/>
      <c r="I15" s="15" t="n"/>
      <c r="J15" s="44" t="n"/>
      <c r="K15" s="14" t="n"/>
      <c r="L15" s="13" t="n"/>
    </row>
    <row r="16" ht="28" customHeight="1">
      <c r="A16" s="32" t="n">
        <v>12</v>
      </c>
      <c r="B16" s="13" t="n"/>
      <c r="C16" s="14" t="n"/>
      <c r="D16" s="13" t="n"/>
      <c r="E16" s="14" t="n"/>
      <c r="F16" s="13" t="n"/>
      <c r="G16" s="14" t="n"/>
      <c r="H16" s="15" t="n"/>
      <c r="I16" s="15" t="n"/>
      <c r="J16" s="44" t="n"/>
      <c r="K16" s="14" t="n"/>
      <c r="L16" s="13" t="n"/>
    </row>
    <row r="17" ht="28" customHeight="1">
      <c r="A17" s="32" t="n">
        <v>13</v>
      </c>
      <c r="B17" s="13" t="n"/>
      <c r="C17" s="14" t="n"/>
      <c r="D17" s="13" t="n"/>
      <c r="E17" s="14" t="n"/>
      <c r="F17" s="13" t="n"/>
      <c r="G17" s="14" t="n"/>
      <c r="H17" s="15" t="n"/>
      <c r="I17" s="15" t="n"/>
      <c r="J17" s="44" t="n"/>
      <c r="K17" s="14" t="n"/>
      <c r="L17" s="13" t="n"/>
    </row>
    <row r="18" ht="28" customHeight="1">
      <c r="A18" s="32" t="n">
        <v>14</v>
      </c>
      <c r="B18" s="13" t="n"/>
      <c r="C18" s="14" t="n"/>
      <c r="D18" s="13" t="n"/>
      <c r="E18" s="14" t="n"/>
      <c r="F18" s="13" t="n"/>
      <c r="G18" s="14" t="n"/>
      <c r="H18" s="15" t="n"/>
      <c r="I18" s="15" t="n"/>
      <c r="J18" s="44" t="n"/>
      <c r="K18" s="14" t="n"/>
      <c r="L18" s="13" t="n"/>
    </row>
    <row r="19" ht="28" customHeight="1">
      <c r="A19" s="32" t="n">
        <v>15</v>
      </c>
      <c r="B19" s="13" t="n"/>
      <c r="C19" s="14" t="n"/>
      <c r="D19" s="13" t="n"/>
      <c r="E19" s="14" t="n"/>
      <c r="F19" s="13" t="n"/>
      <c r="G19" s="14" t="n"/>
      <c r="H19" s="15" t="n"/>
      <c r="I19" s="15" t="n"/>
      <c r="J19" s="44" t="n"/>
      <c r="K19" s="14" t="n"/>
      <c r="L19" s="13" t="n"/>
    </row>
    <row r="20" ht="28" customHeight="1">
      <c r="A20" s="32" t="n">
        <v>16</v>
      </c>
      <c r="B20" s="13" t="n"/>
      <c r="C20" s="14" t="n"/>
      <c r="D20" s="13" t="n"/>
      <c r="E20" s="14" t="n"/>
      <c r="F20" s="13" t="n"/>
      <c r="G20" s="14" t="n"/>
      <c r="H20" s="15" t="n"/>
      <c r="I20" s="15" t="n"/>
      <c r="J20" s="44" t="n"/>
      <c r="K20" s="14" t="n"/>
      <c r="L20" s="13" t="n"/>
    </row>
    <row r="21" ht="28" customHeight="1">
      <c r="A21" s="32" t="n">
        <v>17</v>
      </c>
      <c r="B21" s="13" t="n"/>
      <c r="C21" s="14" t="n"/>
      <c r="D21" s="13" t="n"/>
      <c r="E21" s="14" t="n"/>
      <c r="F21" s="13" t="n"/>
      <c r="G21" s="14" t="n"/>
      <c r="H21" s="15" t="n"/>
      <c r="I21" s="15" t="n"/>
      <c r="J21" s="44" t="n"/>
      <c r="K21" s="14" t="n"/>
      <c r="L21" s="13" t="n"/>
    </row>
    <row r="22" ht="28" customHeight="1">
      <c r="A22" s="32" t="n">
        <v>18</v>
      </c>
      <c r="B22" s="13" t="n"/>
      <c r="C22" s="14" t="n"/>
      <c r="D22" s="13" t="n"/>
      <c r="E22" s="14" t="n"/>
      <c r="F22" s="13" t="n"/>
      <c r="G22" s="14" t="n"/>
      <c r="H22" s="15" t="n"/>
      <c r="I22" s="15" t="n"/>
      <c r="J22" s="44" t="n"/>
      <c r="K22" s="14" t="n"/>
      <c r="L22" s="13" t="n"/>
    </row>
    <row r="23" ht="28" customHeight="1">
      <c r="A23" s="32" t="n">
        <v>19</v>
      </c>
      <c r="B23" s="13" t="n"/>
      <c r="C23" s="14" t="n"/>
      <c r="D23" s="13" t="n"/>
      <c r="E23" s="14" t="n"/>
      <c r="F23" s="13" t="n"/>
      <c r="G23" s="14" t="n"/>
      <c r="H23" s="15" t="n"/>
      <c r="I23" s="15" t="n"/>
      <c r="J23" s="44" t="n"/>
      <c r="K23" s="14" t="n"/>
      <c r="L23" s="13" t="n"/>
    </row>
    <row r="24" ht="28" customHeight="1">
      <c r="A24" s="32" t="n">
        <v>20</v>
      </c>
      <c r="B24" s="13" t="n"/>
      <c r="C24" s="14" t="n"/>
      <c r="D24" s="13" t="n"/>
      <c r="E24" s="14" t="n"/>
      <c r="F24" s="13" t="n"/>
      <c r="G24" s="14" t="n"/>
      <c r="H24" s="15" t="n"/>
      <c r="I24" s="15" t="n"/>
      <c r="J24" s="44" t="n"/>
      <c r="K24" s="14" t="n"/>
      <c r="L24" s="13" t="n"/>
    </row>
    <row r="25" ht="28" customHeight="1">
      <c r="A25" s="32" t="n">
        <v>21</v>
      </c>
      <c r="B25" s="13" t="n"/>
      <c r="C25" s="14" t="n"/>
      <c r="D25" s="13" t="n"/>
      <c r="E25" s="14" t="n"/>
      <c r="F25" s="13" t="n"/>
      <c r="G25" s="14" t="n"/>
      <c r="H25" s="15" t="n"/>
      <c r="I25" s="15" t="n"/>
      <c r="J25" s="44" t="n"/>
      <c r="K25" s="14" t="n"/>
      <c r="L25" s="13" t="n"/>
    </row>
    <row r="26" ht="28" customHeight="1">
      <c r="A26" s="32" t="n">
        <v>22</v>
      </c>
      <c r="B26" s="13" t="n"/>
      <c r="C26" s="14" t="n"/>
      <c r="D26" s="13" t="n"/>
      <c r="E26" s="14" t="n"/>
      <c r="F26" s="13" t="n"/>
      <c r="G26" s="14" t="n"/>
      <c r="H26" s="15" t="n"/>
      <c r="I26" s="15" t="n"/>
      <c r="J26" s="44" t="n"/>
      <c r="K26" s="14" t="n"/>
      <c r="L26" s="13" t="n"/>
    </row>
    <row r="27" ht="28" customHeight="1">
      <c r="A27" s="32" t="n">
        <v>23</v>
      </c>
      <c r="B27" s="13" t="n"/>
      <c r="C27" s="14" t="n"/>
      <c r="D27" s="13" t="n"/>
      <c r="E27" s="14" t="n"/>
      <c r="F27" s="13" t="n"/>
      <c r="G27" s="14" t="n"/>
      <c r="H27" s="15" t="n"/>
      <c r="I27" s="15" t="n"/>
      <c r="J27" s="44" t="n"/>
      <c r="K27" s="14" t="n"/>
      <c r="L27" s="13" t="n"/>
    </row>
    <row r="28" ht="28" customHeight="1">
      <c r="A28" s="32" t="n">
        <v>24</v>
      </c>
      <c r="B28" s="13" t="n"/>
      <c r="C28" s="14" t="n"/>
      <c r="D28" s="13" t="n"/>
      <c r="E28" s="14" t="n"/>
      <c r="F28" s="13" t="n"/>
      <c r="G28" s="14" t="n"/>
      <c r="H28" s="15" t="n"/>
      <c r="I28" s="15" t="n"/>
      <c r="J28" s="44" t="n"/>
      <c r="K28" s="14" t="n"/>
      <c r="L28" s="13" t="n"/>
    </row>
    <row r="29" ht="28" customHeight="1">
      <c r="A29" s="32" t="n">
        <v>25</v>
      </c>
      <c r="B29" s="13" t="n"/>
      <c r="C29" s="14" t="n"/>
      <c r="D29" s="13" t="n"/>
      <c r="E29" s="14" t="n"/>
      <c r="F29" s="13" t="n"/>
      <c r="G29" s="14" t="n"/>
      <c r="H29" s="15" t="n"/>
      <c r="I29" s="15" t="n"/>
      <c r="J29" s="44" t="n"/>
      <c r="K29" s="14" t="n"/>
      <c r="L29" s="13" t="n"/>
    </row>
    <row r="30" ht="28" customHeight="1">
      <c r="A30" s="32" t="n">
        <v>26</v>
      </c>
      <c r="B30" s="13" t="n"/>
      <c r="C30" s="14" t="n"/>
      <c r="D30" s="13" t="n"/>
      <c r="E30" s="14" t="n"/>
      <c r="F30" s="13" t="n"/>
      <c r="G30" s="14" t="n"/>
      <c r="H30" s="15" t="n"/>
      <c r="I30" s="15" t="n"/>
      <c r="J30" s="44" t="n"/>
      <c r="K30" s="14" t="n"/>
      <c r="L30" s="13" t="n"/>
    </row>
    <row r="31" ht="28" customHeight="1">
      <c r="A31" s="32" t="n">
        <v>27</v>
      </c>
      <c r="B31" s="13" t="n"/>
      <c r="C31" s="14" t="n"/>
      <c r="D31" s="13" t="n"/>
      <c r="E31" s="14" t="n"/>
      <c r="F31" s="13" t="n"/>
      <c r="G31" s="14" t="n"/>
      <c r="H31" s="15" t="n"/>
      <c r="I31" s="15" t="n"/>
      <c r="J31" s="44" t="n"/>
      <c r="K31" s="14" t="n"/>
      <c r="L31" s="13" t="n"/>
    </row>
    <row r="32" ht="28" customHeight="1">
      <c r="A32" s="32" t="n">
        <v>28</v>
      </c>
      <c r="B32" s="13" t="n"/>
      <c r="C32" s="14" t="n"/>
      <c r="D32" s="13" t="n"/>
      <c r="E32" s="14" t="n"/>
      <c r="F32" s="13" t="n"/>
      <c r="G32" s="14" t="n"/>
      <c r="H32" s="15" t="n"/>
      <c r="I32" s="15" t="n"/>
      <c r="J32" s="44" t="n"/>
      <c r="K32" s="14" t="n"/>
      <c r="L32" s="13" t="n"/>
    </row>
    <row r="33" ht="28" customHeight="1">
      <c r="A33" s="32" t="n">
        <v>29</v>
      </c>
      <c r="B33" s="13" t="n"/>
      <c r="C33" s="14" t="n"/>
      <c r="D33" s="13" t="n"/>
      <c r="E33" s="14" t="n"/>
      <c r="F33" s="13" t="n"/>
      <c r="G33" s="14" t="n"/>
      <c r="H33" s="15" t="n"/>
      <c r="I33" s="15" t="n"/>
      <c r="J33" s="44" t="n"/>
      <c r="K33" s="14" t="n"/>
      <c r="L33" s="13" t="n"/>
    </row>
    <row r="34" ht="28" customHeight="1">
      <c r="A34" s="32" t="n">
        <v>30</v>
      </c>
      <c r="B34" s="13" t="n"/>
      <c r="C34" s="14" t="n"/>
      <c r="D34" s="13" t="n"/>
      <c r="E34" s="14" t="n"/>
      <c r="F34" s="13" t="n"/>
      <c r="G34" s="14" t="n"/>
      <c r="H34" s="15" t="n"/>
      <c r="I34" s="15" t="n"/>
      <c r="J34" s="44" t="n"/>
      <c r="K34" s="14" t="n"/>
      <c r="L34" s="13" t="n"/>
    </row>
    <row r="35" ht="28" customHeight="1">
      <c r="A35" s="32" t="n">
        <v>31</v>
      </c>
      <c r="B35" s="13" t="n"/>
      <c r="C35" s="14" t="n"/>
      <c r="D35" s="13" t="n"/>
      <c r="E35" s="14" t="n"/>
      <c r="F35" s="13" t="n"/>
      <c r="G35" s="14" t="n"/>
      <c r="H35" s="15" t="n"/>
      <c r="I35" s="15" t="n"/>
      <c r="J35" s="44" t="n"/>
      <c r="K35" s="14" t="n"/>
      <c r="L35" s="13" t="n"/>
    </row>
    <row r="36" ht="28" customHeight="1">
      <c r="A36" s="32" t="n">
        <v>32</v>
      </c>
      <c r="B36" s="13" t="n"/>
      <c r="C36" s="14" t="n"/>
      <c r="D36" s="13" t="n"/>
      <c r="E36" s="14" t="n"/>
      <c r="F36" s="13" t="n"/>
      <c r="G36" s="14" t="n"/>
      <c r="H36" s="15" t="n"/>
      <c r="I36" s="15" t="n"/>
      <c r="J36" s="44" t="n"/>
      <c r="K36" s="14" t="n"/>
      <c r="L36" s="13" t="n"/>
    </row>
    <row r="37" ht="28" customHeight="1">
      <c r="A37" s="32" t="n">
        <v>33</v>
      </c>
      <c r="B37" s="13" t="n"/>
      <c r="C37" s="14" t="n"/>
      <c r="D37" s="13" t="n"/>
      <c r="E37" s="14" t="n"/>
      <c r="F37" s="13" t="n"/>
      <c r="G37" s="14" t="n"/>
      <c r="H37" s="15" t="n"/>
      <c r="I37" s="15" t="n"/>
      <c r="J37" s="44" t="n"/>
      <c r="K37" s="14" t="n"/>
      <c r="L37" s="13" t="n"/>
    </row>
    <row r="38" ht="28" customHeight="1">
      <c r="A38" s="32" t="n">
        <v>34</v>
      </c>
      <c r="B38" s="13" t="n"/>
      <c r="C38" s="14" t="n"/>
      <c r="D38" s="13" t="n"/>
      <c r="E38" s="14" t="n"/>
      <c r="F38" s="13" t="n"/>
      <c r="G38" s="14" t="n"/>
      <c r="H38" s="15" t="n"/>
      <c r="I38" s="15" t="n"/>
      <c r="J38" s="44" t="n"/>
      <c r="K38" s="14" t="n"/>
      <c r="L38" s="13" t="n"/>
    </row>
    <row r="39" ht="28" customHeight="1">
      <c r="A39" s="32" t="n">
        <v>35</v>
      </c>
      <c r="B39" s="13" t="n"/>
      <c r="C39" s="14" t="n"/>
      <c r="D39" s="13" t="n"/>
      <c r="E39" s="14" t="n"/>
      <c r="F39" s="13" t="n"/>
      <c r="G39" s="14" t="n"/>
      <c r="H39" s="15" t="n"/>
      <c r="I39" s="15" t="n"/>
      <c r="J39" s="44" t="n"/>
      <c r="K39" s="14" t="n"/>
      <c r="L39" s="13" t="n"/>
    </row>
  </sheetData>
  <conditionalFormatting sqref="L5:L39">
    <cfRule type="cellIs" priority="1" operator="equal" dxfId="0">
      <formula>"Vencida"</formula>
    </cfRule>
    <cfRule type="cellIs" priority="2" operator="equal" dxfId="3">
      <formula>"Cerrada"</formula>
    </cfRule>
    <cfRule type="cellIs" priority="3" operator="equal" dxfId="2">
      <formula>"Abierta"</formula>
    </cfRule>
    <cfRule type="cellIs" priority="4" operator="equal" dxfId="5">
      <formula>"En ejecución"</formula>
    </cfRule>
  </conditionalFormatting>
  <conditionalFormatting sqref="H5:H39">
    <cfRule type="expression" priority="5" dxfId="0">
      <formula>AND($H5&lt;&gt;"",$I5="",$H5&lt;TODAY())</formula>
    </cfRule>
  </conditionalFormatting>
  <dataValidations count="3">
    <dataValidation sqref="F5:F39" showDropDown="0" showInputMessage="0" showErrorMessage="1" allowBlank="1" errorTitle="Valor no permitido" error="Seleccione una de las opciones de la lista." type="list" errorStyle="stop">
      <formula1>"Correctiva,Preventiva,De mejora,Control de ingeniería,Control administrativo,EPP"</formula1>
    </dataValidation>
    <dataValidation sqref="D5:D39" showDropDown="0" showInputMessage="0" showErrorMessage="1" allowBlank="1" errorTitle="Valor no permitido" error="Seleccione una de las opciones de la lista." type="list" errorStyle="stop">
      <formula1>"Extremo,Alto,Medio,Bajo,Muy bajo"</formula1>
    </dataValidation>
    <dataValidation sqref="L5:L39" showDropDown="0" showInputMessage="0" showErrorMessage="1" allowBlank="1" errorTitle="Valor no permitido" error="Seleccione una de las opciones de la lista." type="list" errorStyle="stop">
      <formula1>"Abierta,En ejecución,Cerrada,Vencida,Cancelada"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F7F7F"/>
    <outlinePr summaryBelow="1" summaryRight="1"/>
    <pageSetUpPr/>
  </sheetPr>
  <dimension ref="A1:D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2" customWidth="1" min="3" max="3"/>
    <col width="26" customWidth="1" min="4" max="4"/>
  </cols>
  <sheetData>
    <row r="1">
      <c r="B1" s="1" t="inlineStr">
        <is>
          <t>MARCO NORMATIVO DE REFERENCIA</t>
        </is>
      </c>
    </row>
    <row r="2">
      <c r="B2" s="2" t="inlineStr">
        <is>
          <t>De aquí salen los puntos de verificación y las frecuencias técnicas de la columna J. Valide siempre la versión vigente en su jurisdicción; las normas colombianas se incluyen como ejemplo de legislación local.</t>
        </is>
      </c>
    </row>
    <row r="4" ht="20" customHeight="1">
      <c r="A4" s="3" t="inlineStr">
        <is>
          <t xml:space="preserve">  GESTIÓN DEL RIESGO</t>
        </is>
      </c>
    </row>
    <row r="5" ht="22" customHeight="1">
      <c r="A5" s="7" t="inlineStr">
        <is>
          <t>#</t>
        </is>
      </c>
      <c r="B5" s="7" t="inlineStr">
        <is>
          <t>Norma o estándar</t>
        </is>
      </c>
      <c r="C5" s="7" t="inlineStr">
        <is>
          <t>Qué aporta al checklist</t>
        </is>
      </c>
      <c r="D5" s="7" t="inlineStr">
        <is>
          <t>Dónde se aplica</t>
        </is>
      </c>
    </row>
    <row r="6" ht="36" customHeight="1">
      <c r="A6" s="32" t="n">
        <v>1</v>
      </c>
      <c r="B6" s="4" t="inlineStr">
        <is>
          <t>ISO 31000</t>
        </is>
      </c>
      <c r="C6" s="5" t="inlineStr">
        <is>
          <t>Gestión del riesgo: identificar, analizar, evaluar, tratar y monitorear. Es la base metodológica de la matriz y de la escala P × I.</t>
        </is>
      </c>
      <c r="D6" s="5" t="inlineStr">
        <is>
          <t>Toda la matriz</t>
        </is>
      </c>
    </row>
    <row r="7" ht="24" customHeight="1">
      <c r="A7" s="32" t="n">
        <v>2</v>
      </c>
      <c r="B7" s="4" t="inlineStr">
        <is>
          <t>ISO 45001 / Decreto 1072 de 2015</t>
        </is>
      </c>
      <c r="C7" s="5" t="inlineStr">
        <is>
          <t>Sistema de gestión de seguridad y salud en el trabajo.</t>
        </is>
      </c>
      <c r="D7" s="5" t="inlineStr">
        <is>
          <t>Bloque K y contratistas</t>
        </is>
      </c>
    </row>
    <row r="8" ht="24" customHeight="1">
      <c r="A8" s="32" t="n">
        <v>3</v>
      </c>
      <c r="B8" s="4" t="inlineStr">
        <is>
          <t>Resolución 0312 de 2019 (Colombia)</t>
        </is>
      </c>
      <c r="C8" s="5" t="inlineStr">
        <is>
          <t>Estándares mínimos del SG-SST y autoevaluación anual obligatoria.</t>
        </is>
      </c>
      <c r="D8" s="5" t="inlineStr">
        <is>
          <t>R-59</t>
        </is>
      </c>
    </row>
    <row r="9" ht="24" customHeight="1">
      <c r="A9" s="32" t="n">
        <v>4</v>
      </c>
      <c r="B9" s="4" t="inlineStr">
        <is>
          <t>ISO 22301</t>
        </is>
      </c>
      <c r="C9" s="5" t="inlineStr">
        <is>
          <t>Continuidad del negocio: BIA, RTO/RPO y prueba del plan.</t>
        </is>
      </c>
      <c r="D9" s="5" t="inlineStr">
        <is>
          <t>R-61</t>
        </is>
      </c>
    </row>
    <row r="10" ht="24" customHeight="1">
      <c r="A10" s="32" t="n">
        <v>5</v>
      </c>
      <c r="B10" s="4" t="inlineStr">
        <is>
          <t>ISO 28000 / BASC / OEA / C-TPAT</t>
        </is>
      </c>
      <c r="C10" s="5" t="inlineStr">
        <is>
          <t>Seguridad de la cadena de suministro y protección de la carga.</t>
        </is>
      </c>
      <c r="D10" s="5" t="inlineStr">
        <is>
          <t>Bloque I</t>
        </is>
      </c>
    </row>
    <row r="11" ht="24" customHeight="1">
      <c r="A11" s="32" t="n">
        <v>6</v>
      </c>
      <c r="B11" s="4" t="inlineStr">
        <is>
          <t>ISO 27001 / NIST CSF</t>
        </is>
      </c>
      <c r="C11" s="5" t="inlineStr">
        <is>
          <t>Seguridad de la información y ciberseguridad.</t>
        </is>
      </c>
      <c r="D11" s="5" t="inlineStr">
        <is>
          <t>R-44</t>
        </is>
      </c>
    </row>
    <row r="13" ht="20" customHeight="1">
      <c r="A13" s="3" t="inlineStr">
        <is>
          <t xml:space="preserve">  ESTANTERÍA Y PISO</t>
        </is>
      </c>
    </row>
    <row r="14" ht="22" customHeight="1">
      <c r="A14" s="7" t="inlineStr">
        <is>
          <t>#</t>
        </is>
      </c>
      <c r="B14" s="7" t="inlineStr">
        <is>
          <t>Norma o estándar</t>
        </is>
      </c>
      <c r="C14" s="7" t="inlineStr">
        <is>
          <t>Qué aporta al checklist</t>
        </is>
      </c>
      <c r="D14" s="7" t="inlineStr">
        <is>
          <t>Dónde se aplica</t>
        </is>
      </c>
    </row>
    <row r="15" ht="36" customHeight="1">
      <c r="A15" s="32" t="n">
        <v>1</v>
      </c>
      <c r="B15" s="4" t="inlineStr">
        <is>
          <t>EN 15635</t>
        </is>
      </c>
      <c r="C15" s="5" t="inlineStr">
        <is>
          <t>Uso y mantenimiento del equipo de almacenamiento: define el PRRS, la inspección visual periódica, la experta anual y la clasificación de daños verde / ámbar / rojo.</t>
        </is>
      </c>
      <c r="D15" s="5" t="inlineStr">
        <is>
          <t>Todo el bloque B</t>
        </is>
      </c>
    </row>
    <row r="16" ht="24" customHeight="1">
      <c r="A16" s="32" t="n">
        <v>2</v>
      </c>
      <c r="B16" s="4" t="inlineStr">
        <is>
          <t>EN 15512 / RMI ANSI MH16.1</t>
        </is>
      </c>
      <c r="C16" s="5" t="inlineStr">
        <is>
          <t>Diseño estructural de estanterías, incluido el diseño sísmico.</t>
        </is>
      </c>
      <c r="D16" s="5" t="inlineStr">
        <is>
          <t>R-08, R-34</t>
        </is>
      </c>
    </row>
    <row r="17" ht="24" customHeight="1">
      <c r="A17" s="32" t="n">
        <v>3</v>
      </c>
      <c r="B17" s="4" t="inlineStr">
        <is>
          <t>EN 15629</t>
        </is>
      </c>
      <c r="C17" s="5" t="inlineStr">
        <is>
          <t>Especificación e instalación del equipo de almacenamiento.</t>
        </is>
      </c>
      <c r="D17" s="5" t="inlineStr">
        <is>
          <t>R-14, R-57</t>
        </is>
      </c>
    </row>
    <row r="18" ht="24" customHeight="1">
      <c r="A18" s="32" t="n">
        <v>4</v>
      </c>
      <c r="B18" s="4" t="inlineStr">
        <is>
          <t>EN 15620 / TR34 / ACI 302</t>
        </is>
      </c>
      <c r="C18" s="5" t="inlineStr">
        <is>
          <t>Tolerancias del piso, planitud, juntas y acabado de la losa.</t>
        </is>
      </c>
      <c r="D18" s="5" t="inlineStr">
        <is>
          <t>R-03, R-04, R-07</t>
        </is>
      </c>
    </row>
    <row r="19" ht="24" customHeight="1">
      <c r="A19" s="32" t="n">
        <v>5</v>
      </c>
      <c r="B19" s="4" t="inlineStr">
        <is>
          <t>FEM 10.2.08</t>
        </is>
      </c>
      <c r="C19" s="5" t="inlineStr">
        <is>
          <t>Diseño sísmico de sistemas de almacenamiento en estanterías.</t>
        </is>
      </c>
      <c r="D19" s="5" t="inlineStr">
        <is>
          <t>R-34</t>
        </is>
      </c>
    </row>
    <row r="20" ht="24" customHeight="1">
      <c r="A20" s="32" t="n">
        <v>6</v>
      </c>
      <c r="B20" s="4" t="inlineStr">
        <is>
          <t>ANSI A326.3 / DIN 51130</t>
        </is>
      </c>
      <c r="C20" s="5" t="inlineStr">
        <is>
          <t>Resistencia al deslizamiento de superficies.</t>
        </is>
      </c>
      <c r="D20" s="5" t="inlineStr">
        <is>
          <t>R-06</t>
        </is>
      </c>
    </row>
    <row r="22" ht="20" customHeight="1">
      <c r="A22" s="3" t="inlineStr">
        <is>
          <t xml:space="preserve">  PROTECCIÓN CONTRA INCENDIO</t>
        </is>
      </c>
    </row>
    <row r="23" ht="22" customHeight="1">
      <c r="A23" s="7" t="inlineStr">
        <is>
          <t>#</t>
        </is>
      </c>
      <c r="B23" s="7" t="inlineStr">
        <is>
          <t>Norma o estándar</t>
        </is>
      </c>
      <c r="C23" s="7" t="inlineStr">
        <is>
          <t>Qué aporta al checklist</t>
        </is>
      </c>
      <c r="D23" s="7" t="inlineStr">
        <is>
          <t>Dónde se aplica</t>
        </is>
      </c>
    </row>
    <row r="24" ht="24" customHeight="1">
      <c r="A24" s="32" t="n">
        <v>1</v>
      </c>
      <c r="B24" s="4" t="inlineStr">
        <is>
          <t>NFPA 13</t>
        </is>
      </c>
      <c r="C24" s="5" t="inlineStr">
        <is>
          <t>Diseño de rociadores: clasificación de mercancía, altura de almacenamiento y 45 cm libres bajo el deflector.</t>
        </is>
      </c>
      <c r="D24" s="5" t="inlineStr">
        <is>
          <t>R-16</t>
        </is>
      </c>
    </row>
    <row r="25" ht="36" customHeight="1">
      <c r="A25" s="32" t="n">
        <v>2</v>
      </c>
      <c r="B25" s="4" t="inlineStr">
        <is>
          <t>NFPA 25</t>
        </is>
      </c>
      <c r="C25" s="5" t="inlineStr">
        <is>
          <t>Inspección, prueba y mantenimiento de sistemas a base de agua. Es la fuente de las frecuencias semanal, mensual, trimestral, anual y quinquenal.</t>
        </is>
      </c>
      <c r="D25" s="5" t="inlineStr">
        <is>
          <t>R-27, R-29</t>
        </is>
      </c>
    </row>
    <row r="26" ht="24" customHeight="1">
      <c r="A26" s="32" t="n">
        <v>3</v>
      </c>
      <c r="B26" s="4" t="inlineStr">
        <is>
          <t>NFPA 10 / NTC 2885</t>
        </is>
      </c>
      <c r="C26" s="5" t="inlineStr">
        <is>
          <t>Extintores portátiles: inspección mensual, mantenimiento anual y prueba hidrostática.</t>
        </is>
      </c>
      <c r="D26" s="5" t="inlineStr">
        <is>
          <t>R-29</t>
        </is>
      </c>
    </row>
    <row r="27" ht="24" customHeight="1">
      <c r="A27" s="32" t="n">
        <v>4</v>
      </c>
      <c r="B27" s="4" t="inlineStr">
        <is>
          <t>NFPA 72 / NFPA 101 / NTC 1700</t>
        </is>
      </c>
      <c r="C27" s="5" t="inlineStr">
        <is>
          <t>Detección y alarma; seguridad humana, salidas, señalización e iluminación de emergencia.</t>
        </is>
      </c>
      <c r="D27" s="5" t="inlineStr">
        <is>
          <t>R-28, R-32</t>
        </is>
      </c>
    </row>
    <row r="28" ht="24" customHeight="1">
      <c r="A28" s="32" t="n">
        <v>5</v>
      </c>
      <c r="B28" s="4" t="inlineStr">
        <is>
          <t>NFPA 30 / 30B / 230</t>
        </is>
      </c>
      <c r="C28" s="5" t="inlineStr">
        <is>
          <t>Líquidos inflamables, aerosoles y protección en almacenamiento (incluye estibas).</t>
        </is>
      </c>
      <c r="D28" s="5" t="inlineStr">
        <is>
          <t>R-30</t>
        </is>
      </c>
    </row>
    <row r="29" ht="24" customHeight="1">
      <c r="A29" s="32" t="n">
        <v>6</v>
      </c>
      <c r="B29" s="4" t="inlineStr">
        <is>
          <t>NFPA 51B / NFPA 80 / NFPA 221</t>
        </is>
      </c>
      <c r="C29" s="5" t="inlineStr">
        <is>
          <t>Trabajos en caliente; puertas y muros cortafuego.</t>
        </is>
      </c>
      <c r="D29" s="5" t="inlineStr">
        <is>
          <t>R-02, R-31</t>
        </is>
      </c>
    </row>
    <row r="30" ht="24" customHeight="1">
      <c r="A30" s="32" t="n">
        <v>7</v>
      </c>
      <c r="B30" s="4" t="inlineStr">
        <is>
          <t>NFPA 855 / NFPA 58 / NFPA 110</t>
        </is>
      </c>
      <c r="C30" s="5" t="inlineStr">
        <is>
          <t>Baterías de litio, GLP y sistemas de energía de emergencia.</t>
        </is>
      </c>
      <c r="D30" s="5" t="inlineStr">
        <is>
          <t>R-26, R-38</t>
        </is>
      </c>
    </row>
    <row r="31" ht="24" customHeight="1">
      <c r="A31" s="32" t="n">
        <v>8</v>
      </c>
      <c r="B31" s="4" t="inlineStr">
        <is>
          <t>FM Global Data Sheets</t>
        </is>
      </c>
      <c r="C31" s="5" t="inlineStr">
        <is>
          <t>Guías de aseguradoras: drenaje de cubierta (1-54) y almacenamiento de estibas (8-24).</t>
        </is>
      </c>
      <c r="D31" s="5" t="inlineStr">
        <is>
          <t>R-01, R-30</t>
        </is>
      </c>
    </row>
    <row r="33" ht="20" customHeight="1">
      <c r="A33" s="3" t="inlineStr">
        <is>
          <t xml:space="preserve">  EQUIPOS, INSTALACIONES Y PRODUCTO</t>
        </is>
      </c>
    </row>
    <row r="34" ht="22" customHeight="1">
      <c r="A34" s="7" t="inlineStr">
        <is>
          <t>#</t>
        </is>
      </c>
      <c r="B34" s="7" t="inlineStr">
        <is>
          <t>Norma o estándar</t>
        </is>
      </c>
      <c r="C34" s="7" t="inlineStr">
        <is>
          <t>Qué aporta al checklist</t>
        </is>
      </c>
      <c r="D34" s="7" t="inlineStr">
        <is>
          <t>Dónde se aplica</t>
        </is>
      </c>
    </row>
    <row r="35" ht="36" customHeight="1">
      <c r="A35" s="32" t="n">
        <v>1</v>
      </c>
      <c r="B35" s="4" t="inlineStr">
        <is>
          <t>OSHA 1910.178 / ANSI B56.1</t>
        </is>
      </c>
      <c r="C35" s="5" t="inlineStr">
        <is>
          <t>Montacargas: preoperacional por turno, certificación del operador y recertificación cada 3 años, aseguramiento del camión en muelle.</t>
        </is>
      </c>
      <c r="D35" s="5" t="inlineStr">
        <is>
          <t>Bloque E, R-18</t>
        </is>
      </c>
    </row>
    <row r="36" ht="24" customHeight="1">
      <c r="A36" s="32" t="n">
        <v>2</v>
      </c>
      <c r="B36" s="4" t="inlineStr">
        <is>
          <t>ISO 5057</t>
        </is>
      </c>
      <c r="C36" s="5" t="inlineStr">
        <is>
          <t>Inspección de horquillas en servicio (desgaste máximo del 10%).</t>
        </is>
      </c>
      <c r="D36" s="5" t="inlineStr">
        <is>
          <t>R-23</t>
        </is>
      </c>
    </row>
    <row r="37" ht="24" customHeight="1">
      <c r="A37" s="32" t="n">
        <v>3</v>
      </c>
      <c r="B37" s="4" t="inlineStr">
        <is>
          <t>Resolución 1409 de 2012 (Colombia)</t>
        </is>
      </c>
      <c r="C37" s="5" t="inlineStr">
        <is>
          <t>Trabajo en alturas: permisos, certificación, anclajes y EPP.</t>
        </is>
      </c>
      <c r="D37" s="5" t="inlineStr">
        <is>
          <t>R-25, R-47</t>
        </is>
      </c>
    </row>
    <row r="38" ht="24" customHeight="1">
      <c r="A38" s="32" t="n">
        <v>4</v>
      </c>
      <c r="B38" s="4" t="inlineStr">
        <is>
          <t>ISO 11228 / NIOSH / REBA</t>
        </is>
      </c>
      <c r="C38" s="5" t="inlineStr">
        <is>
          <t>Manipulación manual de cargas y evaluación ergonómica.</t>
        </is>
      </c>
      <c r="D38" s="5" t="inlineStr">
        <is>
          <t>R-45</t>
        </is>
      </c>
    </row>
    <row r="39" ht="24" customHeight="1">
      <c r="A39" s="32" t="n">
        <v>5</v>
      </c>
      <c r="B39" s="4" t="inlineStr">
        <is>
          <t>RETIE / RETILAP / NTC 4552 / NFPA 70B</t>
        </is>
      </c>
      <c r="C39" s="5" t="inlineStr">
        <is>
          <t>Instalaciones eléctricas, iluminación, protección contra rayos y mantenimiento eléctrico con termografía.</t>
        </is>
      </c>
      <c r="D39" s="5" t="inlineStr">
        <is>
          <t>R-31, R-36, R-37</t>
        </is>
      </c>
    </row>
    <row r="40" ht="24" customHeight="1">
      <c r="A40" s="32" t="n">
        <v>6</v>
      </c>
      <c r="B40" s="4" t="inlineStr">
        <is>
          <t>NSR-10 / ASCE 7</t>
        </is>
      </c>
      <c r="C40" s="5" t="inlineStr">
        <is>
          <t>Norma de construcción sismo resistente: diseño estructural, cargas de cubierta y amenaza sísmica.</t>
        </is>
      </c>
      <c r="D40" s="5" t="inlineStr">
        <is>
          <t>R-01, R-34</t>
        </is>
      </c>
    </row>
    <row r="41" ht="24" customHeight="1">
      <c r="A41" s="32" t="n">
        <v>7</v>
      </c>
      <c r="B41" s="4" t="inlineStr">
        <is>
          <t>Resolución 2674 de 2013 / BPM / HACCP / GDP</t>
        </is>
      </c>
      <c r="C41" s="5" t="inlineStr">
        <is>
          <t>Condiciones sanitarias de almacenamiento, cadena de frío y control de plagas.</t>
        </is>
      </c>
      <c r="D41" s="5" t="inlineStr">
        <is>
          <t>R-50, R-51</t>
        </is>
      </c>
    </row>
    <row r="42" ht="24" customHeight="1">
      <c r="A42" s="32" t="n">
        <v>8</v>
      </c>
      <c r="B42" s="4" t="inlineStr">
        <is>
          <t>Decreto 1609 de 2002 / NTC 1692 / SGA-GHS / NFPA 400</t>
        </is>
      </c>
      <c r="C42" s="5" t="inlineStr">
        <is>
          <t>Mercancías peligrosas: clasificación, rotulado y segregación.</t>
        </is>
      </c>
      <c r="D42" s="5" t="inlineStr">
        <is>
          <t>R-52</t>
        </is>
      </c>
    </row>
    <row r="43" ht="24" customHeight="1">
      <c r="A43" s="32" t="n">
        <v>9</v>
      </c>
      <c r="B43" s="4" t="inlineStr">
        <is>
          <t>Decreto 4741 de 2005 / ISO 14001</t>
        </is>
      </c>
      <c r="C43" s="5" t="inlineStr">
        <is>
          <t>Residuos peligrosos y gestión ambiental.</t>
        </is>
      </c>
      <c r="D43" s="5" t="inlineStr">
        <is>
          <t>R-05, R-52</t>
        </is>
      </c>
    </row>
    <row r="44" ht="24" customHeight="1">
      <c r="A44" s="32" t="n">
        <v>10</v>
      </c>
      <c r="B44" s="4" t="inlineStr">
        <is>
          <t>ISO 17712 / IIAR / ASHRAE 15</t>
        </is>
      </c>
      <c r="C44" s="5" t="inlineStr">
        <is>
          <t>Sellos de alta seguridad; seguridad en refrigeración por amoníaco.</t>
        </is>
      </c>
      <c r="D44" s="5" t="inlineStr">
        <is>
          <t>R-42, R-38</t>
        </is>
      </c>
    </row>
  </sheetData>
  <mergeCells count="4">
    <mergeCell ref="A22:D22"/>
    <mergeCell ref="A4:D4"/>
    <mergeCell ref="A13:D13"/>
    <mergeCell ref="A33:D3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E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2" customWidth="1" min="4" max="4"/>
    <col width="46" customWidth="1" min="5" max="5"/>
  </cols>
  <sheetData>
    <row r="1">
      <c r="B1" s="1" t="inlineStr">
        <is>
          <t>RESUMEN</t>
        </is>
      </c>
    </row>
    <row r="2">
      <c r="B2" s="2" t="inlineStr">
        <is>
          <t>Se actualiza solo a partir de la hoja '2. Matriz rápida'.</t>
        </is>
      </c>
    </row>
    <row r="4" ht="20" customHeight="1">
      <c r="A4" s="3" t="inlineStr">
        <is>
          <t xml:space="preserve">  PERFIL DE RIESGO</t>
        </is>
      </c>
    </row>
    <row r="5" ht="24" customHeight="1">
      <c r="A5" s="7" t="inlineStr"/>
      <c r="B5" s="7" t="inlineStr">
        <is>
          <t>Nivel</t>
        </is>
      </c>
      <c r="C5" s="7" t="inlineStr">
        <is>
          <t>Cantidad</t>
        </is>
      </c>
      <c r="D5" s="7" t="inlineStr">
        <is>
          <t>%</t>
        </is>
      </c>
      <c r="E5" s="7" t="inlineStr">
        <is>
          <t>Frecuencia mínima que exige</t>
        </is>
      </c>
    </row>
    <row r="6" ht="22" customHeight="1">
      <c r="B6" s="31" t="inlineStr">
        <is>
          <t>Extremo</t>
        </is>
      </c>
      <c r="C6" s="8">
        <f>COUNTIF('2. Matriz rápida'!$I$5:$I$66,"Extremo")</f>
        <v>7</v>
      </c>
      <c r="D6" s="45">
        <f>IFERROR(C6/$C$11,0)</f>
        <v>0.11290322580645161</v>
      </c>
      <c r="E6" s="5" t="inlineStr">
        <is>
          <t>Diaria o por turno + inspección formal semanal</t>
        </is>
      </c>
    </row>
    <row r="7" ht="22" customHeight="1">
      <c r="B7" s="33" t="inlineStr">
        <is>
          <t>Alto</t>
        </is>
      </c>
      <c r="C7" s="8">
        <f>COUNTIF('2. Matriz rápida'!$I$5:$I$66,"Alto")</f>
        <v>46</v>
      </c>
      <c r="D7" s="45">
        <f>IFERROR(C7/$C$11,0)</f>
        <v>0.7419354838709677</v>
      </c>
      <c r="E7" s="5" t="inlineStr">
        <is>
          <t>Semanal + inspección formal mensual</t>
        </is>
      </c>
    </row>
    <row r="8" ht="22" customHeight="1">
      <c r="B8" s="34" t="inlineStr">
        <is>
          <t>Medio</t>
        </is>
      </c>
      <c r="C8" s="8">
        <f>COUNTIF('2. Matriz rápida'!$I$5:$I$66,"Medio")</f>
        <v>9</v>
      </c>
      <c r="D8" s="45">
        <f>IFERROR(C8/$C$11,0)</f>
        <v>0.14516129032258066</v>
      </c>
      <c r="E8" s="5" t="inlineStr">
        <is>
          <t>Mensual (operativo) o trimestral (estructural)</t>
        </is>
      </c>
    </row>
    <row r="9" ht="22" customHeight="1">
      <c r="B9" s="35" t="inlineStr">
        <is>
          <t>Bajo</t>
        </is>
      </c>
      <c r="C9" s="8">
        <f>COUNTIF('2. Matriz rápida'!$I$5:$I$66,"Bajo")</f>
        <v>0</v>
      </c>
      <c r="D9" s="45">
        <f>IFERROR(C9/$C$11,0)</f>
        <v>0.0</v>
      </c>
      <c r="E9" s="5" t="inlineStr">
        <is>
          <t>Semestral</t>
        </is>
      </c>
    </row>
    <row r="10" ht="22" customHeight="1">
      <c r="B10" s="36" t="inlineStr">
        <is>
          <t>Muy bajo</t>
        </is>
      </c>
      <c r="C10" s="8">
        <f>COUNTIF('2. Matriz rápida'!$I$5:$I$66,"Muy bajo")</f>
        <v>0</v>
      </c>
      <c r="D10" s="45">
        <f>IFERROR(C10/$C$11,0)</f>
        <v>0.0</v>
      </c>
      <c r="E10" s="5" t="inlineStr">
        <is>
          <t>Anual</t>
        </is>
      </c>
    </row>
    <row r="11">
      <c r="B11" s="46" t="inlineStr">
        <is>
          <t>Total de riesgos</t>
        </is>
      </c>
      <c r="C11" s="47">
        <f>SUM(C6:C10)</f>
        <v>62</v>
      </c>
      <c r="D11" s="48" t="n"/>
      <c r="E11" s="48" t="n"/>
    </row>
    <row r="13" ht="20" customHeight="1">
      <c r="A13" s="3" t="inlineStr">
        <is>
          <t xml:space="preserve">  CUMPLIMIENTO DE LA VERIFICACIÓN</t>
        </is>
      </c>
    </row>
    <row r="14" ht="24" customHeight="1">
      <c r="A14" s="7" t="inlineStr"/>
      <c r="B14" s="7" t="inlineStr">
        <is>
          <t>Resultado</t>
        </is>
      </c>
      <c r="C14" s="7" t="inlineStr">
        <is>
          <t>Cantidad</t>
        </is>
      </c>
      <c r="D14" s="7" t="inlineStr">
        <is>
          <t>%</t>
        </is>
      </c>
      <c r="E14" s="7" t="inlineStr">
        <is>
          <t>Qué hacer</t>
        </is>
      </c>
    </row>
    <row r="15" ht="20" customHeight="1">
      <c r="B15" s="10" t="inlineStr">
        <is>
          <t>Sí</t>
        </is>
      </c>
      <c r="C15" s="8">
        <f>COUNTIF('2. Matriz rápida'!$L$5:$L$66,"Sí")</f>
        <v>0</v>
      </c>
      <c r="D15" s="45">
        <f>IFERROR(C15/62,0)</f>
        <v>0.0</v>
      </c>
      <c r="E15" s="5" t="inlineStr">
        <is>
          <t>Mantener el control y conservar su evidencia</t>
        </is>
      </c>
    </row>
    <row r="16" ht="20" customHeight="1">
      <c r="B16" s="10" t="inlineStr">
        <is>
          <t>Parcial</t>
        </is>
      </c>
      <c r="C16" s="8">
        <f>COUNTIF('2. Matriz rápida'!$L$5:$L$66,"Parcial")</f>
        <v>0</v>
      </c>
      <c r="D16" s="45">
        <f>IFERROR(C16/62,0)</f>
        <v>0.0</v>
      </c>
      <c r="E16" s="5" t="inlineStr">
        <is>
          <t>Cerrar la brecha dentro del plazo del nivel de riesgo</t>
        </is>
      </c>
    </row>
    <row r="17" ht="20" customHeight="1">
      <c r="B17" s="10" t="inlineStr">
        <is>
          <t>No</t>
        </is>
      </c>
      <c r="C17" s="8">
        <f>COUNTIF('2. Matriz rápida'!$L$5:$L$66,"No")</f>
        <v>0</v>
      </c>
      <c r="D17" s="45">
        <f>IFERROR(C17/62,0)</f>
        <v>0.0</v>
      </c>
      <c r="E17" s="5" t="inlineStr">
        <is>
          <t>Pasa al plan de acción con responsable y fecha</t>
        </is>
      </c>
    </row>
    <row r="18" ht="20" customHeight="1">
      <c r="B18" s="10" t="inlineStr">
        <is>
          <t>N.A.</t>
        </is>
      </c>
      <c r="C18" s="8">
        <f>COUNTIF('2. Matriz rápida'!$L$5:$L$66,"N.A.")</f>
        <v>0</v>
      </c>
      <c r="D18" s="45">
        <f>IFERROR(C18/62,0)</f>
        <v>0.0</v>
      </c>
      <c r="E18" s="5" t="inlineStr">
        <is>
          <t>Dejar registrado por qué no aplica</t>
        </is>
      </c>
    </row>
    <row r="19" ht="20" customHeight="1">
      <c r="B19" s="10" t="inlineStr">
        <is>
          <t>Sin marcar</t>
        </is>
      </c>
      <c r="C19" s="8">
        <f>62-COUNTA('2. Matriz rápida'!$L$5:$L$66)</f>
        <v>62</v>
      </c>
      <c r="D19" s="45">
        <f>IFERROR(C19/62,0)</f>
        <v>1.0</v>
      </c>
      <c r="E19" s="5" t="inlineStr">
        <is>
          <t>Pendiente de verificar en campo</t>
        </is>
      </c>
    </row>
    <row r="20">
      <c r="B20" s="46" t="inlineStr">
        <is>
          <t>Índice de cumplimiento</t>
        </is>
      </c>
      <c r="C20" s="49">
        <f>IFERROR(C15/(C15+C16+C17),0)</f>
        <v>0</v>
      </c>
      <c r="D20" s="48" t="n"/>
      <c r="E20" s="50" t="inlineStr">
        <is>
          <t>Sí ÷ (Sí + Parcial + No)</t>
        </is>
      </c>
    </row>
    <row r="21" ht="26" customHeight="1">
      <c r="B21" s="46" t="inlineStr">
        <is>
          <t>Incumplimientos en riesgo Extremo o Alto</t>
        </is>
      </c>
      <c r="C21" s="51">
        <f>COUNTIFS('2. Matriz rápida'!$I$5:$I$66,"Extremo",'2. Matriz rápida'!$L$5:$L$66,"No")+COUNTIFS('2. Matriz rápida'!$I$5:$I$66,"Alto",'2. Matriz rápida'!$L$5:$L$66,"No")</f>
        <v>0</v>
      </c>
      <c r="D21" s="48" t="n"/>
      <c r="E21" s="52" t="inlineStr">
        <is>
          <t>Se atienden primero: ≤ 15 días (Extremo) y ≤ 30 días (Alto)</t>
        </is>
      </c>
    </row>
    <row r="23" ht="20" customHeight="1">
      <c r="A23" s="3" t="inlineStr">
        <is>
          <t xml:space="preserve">  POR CATEGORÍA</t>
        </is>
      </c>
    </row>
    <row r="24" ht="22" customHeight="1">
      <c r="A24" s="7" t="inlineStr"/>
      <c r="B24" s="7" t="inlineStr">
        <is>
          <t>Categoría</t>
        </is>
      </c>
      <c r="C24" s="7" t="inlineStr">
        <is>
          <t>Extremo</t>
        </is>
      </c>
      <c r="D24" s="7" t="inlineStr">
        <is>
          <t>Alto</t>
        </is>
      </c>
      <c r="E24" s="7" t="inlineStr">
        <is>
          <t>Total</t>
        </is>
      </c>
    </row>
    <row r="25" ht="20" customHeight="1">
      <c r="B25" s="5" t="inlineStr">
        <is>
          <t>A. Edificio y piso</t>
        </is>
      </c>
      <c r="C25" s="8">
        <f>COUNTIFS('2. Matriz rápida'!$B$5:$B$66,$B25,'2. Matriz rápida'!$I$5:$I$66,"Extremo")</f>
        <v>0</v>
      </c>
      <c r="D25" s="8">
        <f>COUNTIFS('2. Matriz rápida'!$B$5:$B$66,$B25,'2. Matriz rápida'!$I$5:$I$66,"Alto")</f>
        <v>7</v>
      </c>
      <c r="E25" s="8">
        <f>COUNTIF('2. Matriz rápida'!$B$5:$B$66,$B25)</f>
        <v>7</v>
      </c>
    </row>
    <row r="26" ht="20" customHeight="1">
      <c r="B26" s="5" t="inlineStr">
        <is>
          <t>B. Estantería</t>
        </is>
      </c>
      <c r="C26" s="8">
        <f>COUNTIFS('2. Matriz rápida'!$B$5:$B$66,$B26,'2. Matriz rápida'!$I$5:$I$66,"Extremo")</f>
        <v>2</v>
      </c>
      <c r="D26" s="8">
        <f>COUNTIFS('2. Matriz rápida'!$B$5:$B$66,$B26,'2. Matriz rápida'!$I$5:$I$66,"Alto")</f>
        <v>5</v>
      </c>
      <c r="E26" s="8">
        <f>COUNTIF('2. Matriz rápida'!$B$5:$B$66,$B26)</f>
        <v>7</v>
      </c>
    </row>
    <row r="27" ht="20" customHeight="1">
      <c r="B27" s="5" t="inlineStr">
        <is>
          <t>C. Volumen y ocupación</t>
        </is>
      </c>
      <c r="C27" s="8">
        <f>COUNTIFS('2. Matriz rápida'!$B$5:$B$66,$B27,'2. Matriz rápida'!$I$5:$I$66,"Extremo")</f>
        <v>2</v>
      </c>
      <c r="D27" s="8">
        <f>COUNTIFS('2. Matriz rápida'!$B$5:$B$66,$B27,'2. Matriz rápida'!$I$5:$I$66,"Alto")</f>
        <v>1</v>
      </c>
      <c r="E27" s="8">
        <f>COUNTIF('2. Matriz rápida'!$B$5:$B$66,$B27)</f>
        <v>3</v>
      </c>
    </row>
    <row r="28" ht="20" customHeight="1">
      <c r="B28" s="5" t="inlineStr">
        <is>
          <t>D. Muelles y patio</t>
        </is>
      </c>
      <c r="C28" s="8">
        <f>COUNTIFS('2. Matriz rápida'!$B$5:$B$66,$B28,'2. Matriz rápida'!$I$5:$I$66,"Extremo")</f>
        <v>0</v>
      </c>
      <c r="D28" s="8">
        <f>COUNTIFS('2. Matriz rápida'!$B$5:$B$66,$B28,'2. Matriz rápida'!$I$5:$I$66,"Alto")</f>
        <v>4</v>
      </c>
      <c r="E28" s="8">
        <f>COUNTIF('2. Matriz rápida'!$B$5:$B$66,$B28)</f>
        <v>4</v>
      </c>
    </row>
    <row r="29" ht="20" customHeight="1">
      <c r="B29" s="5" t="inlineStr">
        <is>
          <t>E. Equipos (MHE)</t>
        </is>
      </c>
      <c r="C29" s="8">
        <f>COUNTIFS('2. Matriz rápida'!$B$5:$B$66,$B29,'2. Matriz rápida'!$I$5:$I$66,"Extremo")</f>
        <v>1</v>
      </c>
      <c r="D29" s="8">
        <f>COUNTIFS('2. Matriz rápida'!$B$5:$B$66,$B29,'2. Matriz rápida'!$I$5:$I$66,"Alto")</f>
        <v>4</v>
      </c>
      <c r="E29" s="8">
        <f>COUNTIF('2. Matriz rápida'!$B$5:$B$66,$B29)</f>
        <v>5</v>
      </c>
    </row>
    <row r="30" ht="20" customHeight="1">
      <c r="B30" s="5" t="inlineStr">
        <is>
          <t>F. Incendio</t>
        </is>
      </c>
      <c r="C30" s="8">
        <f>COUNTIFS('2. Matriz rápida'!$B$5:$B$66,$B30,'2. Matriz rápida'!$I$5:$I$66,"Extremo")</f>
        <v>2</v>
      </c>
      <c r="D30" s="8">
        <f>COUNTIFS('2. Matriz rápida'!$B$5:$B$66,$B30,'2. Matriz rápida'!$I$5:$I$66,"Alto")</f>
        <v>4</v>
      </c>
      <c r="E30" s="8">
        <f>COUNTIF('2. Matriz rápida'!$B$5:$B$66,$B30)</f>
        <v>7</v>
      </c>
    </row>
    <row r="31" ht="20" customHeight="1">
      <c r="B31" s="5" t="inlineStr">
        <is>
          <t>G. Riesgos naturales</t>
        </is>
      </c>
      <c r="C31" s="8">
        <f>COUNTIFS('2. Matriz rápida'!$B$5:$B$66,$B31,'2. Matriz rápida'!$I$5:$I$66,"Extremo")</f>
        <v>0</v>
      </c>
      <c r="D31" s="8">
        <f>COUNTIFS('2. Matriz rápida'!$B$5:$B$66,$B31,'2. Matriz rápida'!$I$5:$I$66,"Alto")</f>
        <v>1</v>
      </c>
      <c r="E31" s="8">
        <f>COUNTIF('2. Matriz rápida'!$B$5:$B$66,$B31)</f>
        <v>3</v>
      </c>
    </row>
    <row r="32" ht="20" customHeight="1">
      <c r="B32" s="5" t="inlineStr">
        <is>
          <t>H. Eléctrico y servicios</t>
        </is>
      </c>
      <c r="C32" s="8">
        <f>COUNTIFS('2. Matriz rápida'!$B$5:$B$66,$B32,'2. Matriz rápida'!$I$5:$I$66,"Extremo")</f>
        <v>0</v>
      </c>
      <c r="D32" s="8">
        <f>COUNTIFS('2. Matriz rápida'!$B$5:$B$66,$B32,'2. Matriz rápida'!$I$5:$I$66,"Alto")</f>
        <v>2</v>
      </c>
      <c r="E32" s="8">
        <f>COUNTIF('2. Matriz rápida'!$B$5:$B$66,$B32)</f>
        <v>2</v>
      </c>
    </row>
    <row r="33" ht="20" customHeight="1">
      <c r="B33" s="5" t="inlineStr">
        <is>
          <t>I. Seguridad física</t>
        </is>
      </c>
      <c r="C33" s="8">
        <f>COUNTIFS('2. Matriz rápida'!$B$5:$B$66,$B33,'2. Matriz rápida'!$I$5:$I$66,"Extremo")</f>
        <v>0</v>
      </c>
      <c r="D33" s="8">
        <f>COUNTIFS('2. Matriz rápida'!$B$5:$B$66,$B33,'2. Matriz rápida'!$I$5:$I$66,"Alto")</f>
        <v>2</v>
      </c>
      <c r="E33" s="8">
        <f>COUNTIF('2. Matriz rápida'!$B$5:$B$66,$B33)</f>
        <v>4</v>
      </c>
    </row>
    <row r="34" ht="20" customHeight="1">
      <c r="B34" s="5" t="inlineStr">
        <is>
          <t>J. Tecnología</t>
        </is>
      </c>
      <c r="C34" s="8">
        <f>COUNTIFS('2. Matriz rápida'!$B$5:$B$66,$B34,'2. Matriz rápida'!$I$5:$I$66,"Extremo")</f>
        <v>0</v>
      </c>
      <c r="D34" s="8">
        <f>COUNTIFS('2. Matriz rápida'!$B$5:$B$66,$B34,'2. Matriz rápida'!$I$5:$I$66,"Alto")</f>
        <v>2</v>
      </c>
      <c r="E34" s="8">
        <f>COUNTIF('2. Matriz rápida'!$B$5:$B$66,$B34)</f>
        <v>2</v>
      </c>
    </row>
    <row r="35" ht="20" customHeight="1">
      <c r="B35" s="5" t="inlineStr">
        <is>
          <t>K. Personas (SST)</t>
        </is>
      </c>
      <c r="C35" s="8">
        <f>COUNTIFS('2. Matriz rápida'!$B$5:$B$66,$B35,'2. Matriz rápida'!$I$5:$I$66,"Extremo")</f>
        <v>0</v>
      </c>
      <c r="D35" s="8">
        <f>COUNTIFS('2. Matriz rápida'!$B$5:$B$66,$B35,'2. Matriz rápida'!$I$5:$I$66,"Alto")</f>
        <v>4</v>
      </c>
      <c r="E35" s="8">
        <f>COUNTIF('2. Matriz rápida'!$B$5:$B$66,$B35)</f>
        <v>5</v>
      </c>
    </row>
    <row r="36" ht="20" customHeight="1">
      <c r="B36" s="5" t="inlineStr">
        <is>
          <t>L. Producto y calidad</t>
        </is>
      </c>
      <c r="C36" s="8">
        <f>COUNTIFS('2. Matriz rápida'!$B$5:$B$66,$B36,'2. Matriz rápida'!$I$5:$I$66,"Extremo")</f>
        <v>0</v>
      </c>
      <c r="D36" s="8">
        <f>COUNTIFS('2. Matriz rápida'!$B$5:$B$66,$B36,'2. Matriz rápida'!$I$5:$I$66,"Alto")</f>
        <v>5</v>
      </c>
      <c r="E36" s="8">
        <f>COUNTIF('2. Matriz rápida'!$B$5:$B$66,$B36)</f>
        <v>5</v>
      </c>
    </row>
    <row r="37" ht="20" customHeight="1">
      <c r="B37" s="5" t="inlineStr">
        <is>
          <t>M. Operación</t>
        </is>
      </c>
      <c r="C37" s="8">
        <f>COUNTIFS('2. Matriz rápida'!$B$5:$B$66,$B37,'2. Matriz rápida'!$I$5:$I$66,"Extremo")</f>
        <v>0</v>
      </c>
      <c r="D37" s="8">
        <f>COUNTIFS('2. Matriz rápida'!$B$5:$B$66,$B37,'2. Matriz rápida'!$I$5:$I$66,"Alto")</f>
        <v>1</v>
      </c>
      <c r="E37" s="8">
        <f>COUNTIF('2. Matriz rápida'!$B$5:$B$66,$B37)</f>
        <v>2</v>
      </c>
    </row>
    <row r="38" ht="20" customHeight="1">
      <c r="B38" s="5" t="inlineStr">
        <is>
          <t>N. Terceros</t>
        </is>
      </c>
      <c r="C38" s="8">
        <f>COUNTIFS('2. Matriz rápida'!$B$5:$B$66,$B38,'2. Matriz rápida'!$I$5:$I$66,"Extremo")</f>
        <v>0</v>
      </c>
      <c r="D38" s="8">
        <f>COUNTIFS('2. Matriz rápida'!$B$5:$B$66,$B38,'2. Matriz rápida'!$I$5:$I$66,"Alto")</f>
        <v>2</v>
      </c>
      <c r="E38" s="8">
        <f>COUNTIF('2. Matriz rápida'!$B$5:$B$66,$B38)</f>
        <v>2</v>
      </c>
    </row>
    <row r="39" ht="20" customHeight="1">
      <c r="B39" s="5" t="inlineStr">
        <is>
          <t>O. Legal y continuidad</t>
        </is>
      </c>
      <c r="C39" s="8">
        <f>COUNTIFS('2. Matriz rápida'!$B$5:$B$66,$B39,'2. Matriz rápida'!$I$5:$I$66,"Extremo")</f>
        <v>0</v>
      </c>
      <c r="D39" s="8">
        <f>COUNTIFS('2. Matriz rápida'!$B$5:$B$66,$B39,'2. Matriz rápida'!$I$5:$I$66,"Alto")</f>
        <v>2</v>
      </c>
      <c r="E39" s="8">
        <f>COUNTIF('2. Matriz rápida'!$B$5:$B$66,$B39)</f>
        <v>4</v>
      </c>
    </row>
  </sheetData>
  <mergeCells count="3">
    <mergeCell ref="A4:E4"/>
    <mergeCell ref="A13:E13"/>
    <mergeCell ref="A23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2026-08-25T13:54:51Z</dcterms:created>
  <dcterms:modified xsi:type="dcterms:W3CDTF">2026-08-25T13:54:51Z</dcterms:modified>
</cp:coreProperties>
</file>