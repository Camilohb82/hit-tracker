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Ficha y uso" sheetId="1" state="visible" r:id="rId1"/>
    <sheet name="2. Matriz rápida" sheetId="2" state="visible" r:id="rId2"/>
    <sheet name="3. Escalas" sheetId="3" state="visible" r:id="rId3"/>
    <sheet name="4. Resumen" sheetId="4" state="visible" r:id="rId4"/>
  </sheets>
  <definedNames>
    <definedName name="_xlnm._FilterDatabase" localSheetId="1" hidden="1">'2. Matriz rápida'!$A$4:$N$53</definedName>
    <definedName name="_xlnm.Print_Titles" localSheetId="1">'2. Matriz rápida'!$4:$4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0">
    <font>
      <name val="Calibri"/>
      <family val="2"/>
      <color theme="1"/>
      <sz val="11"/>
      <scheme val="minor"/>
    </font>
    <font>
      <name val="Calibri"/>
      <b val="1"/>
      <color rgb="001F3864"/>
      <sz val="17"/>
    </font>
    <font>
      <name val="Calibri"/>
      <i val="1"/>
      <color rgb="00595959"/>
      <sz val="10"/>
    </font>
    <font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b val="1"/>
      <color rgb="009C0006"/>
      <sz val="10"/>
    </font>
    <font>
      <b val="1"/>
      <color rgb="00974706"/>
      <sz val="10"/>
    </font>
    <font>
      <b val="1"/>
      <color rgb="009C6500"/>
      <sz val="10"/>
    </font>
    <font>
      <b val="1"/>
      <color rgb="00006100"/>
      <sz val="10"/>
    </font>
    <font>
      <b val="1"/>
      <color rgb="003F3F3F"/>
      <sz val="10"/>
    </font>
    <font>
      <b val="1"/>
      <color rgb="00006100"/>
      <sz val="11"/>
    </font>
    <font>
      <b val="1"/>
      <color rgb="009C6500"/>
      <sz val="11"/>
    </font>
    <font>
      <b val="1"/>
      <color rgb="00974706"/>
      <sz val="11"/>
    </font>
    <font>
      <b val="1"/>
      <color rgb="009C0006"/>
      <sz val="11"/>
    </font>
    <font>
      <b val="1"/>
      <color rgb="003F3F3F"/>
      <sz val="11"/>
    </font>
    <font>
      <name val="Calibri"/>
      <color rgb="00595959"/>
      <sz val="9"/>
    </font>
    <font>
      <b val="1"/>
      <color rgb="001F3864"/>
      <sz val="12"/>
    </font>
    <font>
      <b val="1"/>
      <color rgb="009C0006"/>
      <sz val="12"/>
    </font>
  </fonts>
  <fills count="2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BE5D6"/>
      </patternFill>
    </fill>
    <fill>
      <patternFill patternType="solid">
        <fgColor rgb="00E2F0D9"/>
      </patternFill>
    </fill>
    <fill>
      <patternFill patternType="solid">
        <fgColor rgb="00FFF7DC"/>
      </patternFill>
    </fill>
    <fill>
      <patternFill patternType="solid">
        <fgColor rgb="00F2F2F2"/>
      </patternFill>
    </fill>
    <fill>
      <patternFill patternType="solid">
        <fgColor rgb="00EAE1F2"/>
      </patternFill>
    </fill>
    <fill>
      <patternFill patternType="solid">
        <fgColor rgb="00DEEAF6"/>
      </patternFill>
    </fill>
    <fill>
      <patternFill patternType="solid">
        <fgColor rgb="00FDE9D9"/>
      </patternFill>
    </fill>
    <fill>
      <patternFill patternType="solid">
        <fgColor rgb="00E9F2E1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left" vertical="top" wrapText="1"/>
    </xf>
    <xf numFmtId="0" fontId="5" fillId="13" borderId="1" applyAlignment="1" pivotButton="0" quotePrefix="0" xfId="0">
      <alignment horizontal="left" vertical="top" wrapText="1"/>
    </xf>
    <xf numFmtId="0" fontId="5" fillId="14" borderId="1" applyAlignment="1" pivotButton="0" quotePrefix="0" xfId="0">
      <alignment horizontal="left" vertical="top" wrapText="1"/>
    </xf>
    <xf numFmtId="0" fontId="5" fillId="15" borderId="1" applyAlignment="1" pivotButton="0" quotePrefix="0" xfId="0">
      <alignment horizontal="left" vertical="top" wrapText="1"/>
    </xf>
    <xf numFmtId="0" fontId="5" fillId="16" borderId="1" applyAlignment="1" pivotButton="0" quotePrefix="0" xfId="0">
      <alignment horizontal="left" vertical="top" wrapText="1"/>
    </xf>
    <xf numFmtId="0" fontId="5" fillId="17" borderId="1" applyAlignment="1" pivotButton="0" quotePrefix="0" xfId="0">
      <alignment horizontal="left" vertical="top" wrapText="1"/>
    </xf>
    <xf numFmtId="0" fontId="5" fillId="18" borderId="1" applyAlignment="1" pivotButton="0" quotePrefix="0" xfId="0">
      <alignment horizontal="left" vertical="top" wrapText="1"/>
    </xf>
    <xf numFmtId="0" fontId="5" fillId="19" borderId="1" applyAlignment="1" pivotButton="0" quotePrefix="0" xfId="0">
      <alignment horizontal="left" vertical="top" wrapText="1"/>
    </xf>
    <xf numFmtId="0" fontId="5" fillId="20" borderId="1" applyAlignment="1" pivotButton="0" quotePrefix="0" xfId="0">
      <alignment horizontal="left" vertical="top" wrapText="1"/>
    </xf>
    <xf numFmtId="0" fontId="5" fillId="21" borderId="1" applyAlignment="1" pivotButton="0" quotePrefix="0" xfId="0">
      <alignment horizontal="left" vertical="top" wrapText="1"/>
    </xf>
    <xf numFmtId="0" fontId="5" fillId="22" borderId="1" applyAlignment="1" pivotButton="0" quotePrefix="0" xfId="0">
      <alignment horizontal="left" vertical="top" wrapText="1"/>
    </xf>
    <xf numFmtId="0" fontId="5" fillId="23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165" fontId="0" fillId="0" borderId="1" applyAlignment="1" pivotButton="0" quotePrefix="0" xfId="0">
      <alignment horizontal="center" vertical="center" wrapText="1"/>
    </xf>
    <xf numFmtId="0" fontId="4" fillId="24" borderId="1" pivotButton="0" quotePrefix="0" xfId="0"/>
    <xf numFmtId="0" fontId="4" fillId="24" borderId="1" applyAlignment="1" pivotButton="0" quotePrefix="0" xfId="0">
      <alignment horizontal="center" vertical="center" wrapText="1"/>
    </xf>
    <xf numFmtId="0" fontId="0" fillId="24" borderId="1" pivotButton="0" quotePrefix="0" xfId="0"/>
    <xf numFmtId="165" fontId="18" fillId="24" borderId="1" applyAlignment="1" pivotButton="0" quotePrefix="0" xfId="0">
      <alignment horizontal="center" vertical="center" wrapText="1"/>
    </xf>
    <xf numFmtId="0" fontId="17" fillId="24" borderId="1" pivotButton="0" quotePrefix="0" xfId="0"/>
    <xf numFmtId="0" fontId="19" fillId="24" borderId="1" applyAlignment="1" pivotButton="0" quotePrefix="0" xfId="0">
      <alignment horizontal="center" vertical="center" wrapText="1"/>
    </xf>
    <xf numFmtId="0" fontId="17" fillId="2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ont>
        <b val="1"/>
        <color rgb="FF9C0006"/>
      </font>
      <fill>
        <patternFill>
          <bgColor rgb="FFFFC7CE"/>
        </patternFill>
      </fill>
    </dxf>
    <dxf>
      <font>
        <b val="1"/>
        <color rgb="FF974706"/>
      </font>
      <fill>
        <patternFill>
          <bgColor rgb="FFFCD5B4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4" customWidth="1" min="2" max="2"/>
    <col width="30" customWidth="1" min="3" max="3"/>
    <col width="62" customWidth="1" min="4" max="4"/>
  </cols>
  <sheetData>
    <row r="2">
      <c r="B2" s="1" t="inlineStr">
        <is>
          <t>CHECKLIST DE RIESGOS — CENTRO DE DISTRIBUCIÓN · VERSIÓN RÁPIDA</t>
        </is>
      </c>
    </row>
    <row r="3">
      <c r="B3" s="2" t="inlineStr">
        <is>
          <t>49 riesgos madre. Misma lógica de la versión completa: usted califica Probabilidad e Impacto, y el archivo calcula el nivel y cada cuánto revisar.</t>
        </is>
      </c>
    </row>
    <row r="5" ht="20" customHeight="1">
      <c r="A5" s="3" t="inlineStr">
        <is>
          <t xml:space="preserve">  CÓMO SE DILIGENCIA — 4 PASOS</t>
        </is>
      </c>
    </row>
    <row r="6" ht="30" customHeight="1">
      <c r="B6" s="4" t="inlineStr">
        <is>
          <t>PASO 1</t>
        </is>
      </c>
      <c r="C6" s="5" t="inlineStr">
        <is>
          <t>Complete la ficha de abajo (10 minutos). Sin caracterizar no se puede calificar: el mismo riesgo no vale igual en una bodega de 5.000 m² que en una de 40.000 m² en zona sísmica.</t>
        </is>
      </c>
      <c r="D6" s="6" t="n"/>
    </row>
    <row r="7" ht="30" customHeight="1">
      <c r="B7" s="4" t="inlineStr">
        <is>
          <t>PASO 2</t>
        </is>
      </c>
      <c r="C7" s="5" t="inlineStr">
        <is>
          <t>Recorra el CEDI con la hoja '2. Matriz rápida'. Por cada fila lea el texto en MAYÚSCULA (el tema) y verifique los puntos que siguen. Marque Cumple: Sí / Parcial / No / N.A.</t>
        </is>
      </c>
      <c r="D7" s="6" t="n"/>
    </row>
    <row r="8" ht="30" customHeight="1">
      <c r="B8" s="4" t="inlineStr">
        <is>
          <t>PASO 3</t>
        </is>
      </c>
      <c r="C8" s="5" t="inlineStr">
        <is>
          <t>Ajuste P (probabilidad) e I (impacto) según lo que vio. Las columnas P×I, Nivel y Frecuencia se calculan solas. Vienen precargadas como punto de partida.</t>
        </is>
      </c>
      <c r="D8" s="6" t="n"/>
    </row>
    <row r="9" ht="30" customHeight="1">
      <c r="B9" s="4" t="inlineStr">
        <is>
          <t>PASO 4</t>
        </is>
      </c>
      <c r="C9" s="5" t="inlineStr">
        <is>
          <t>Todo 'No' o 'Parcial' se escribe en la columna Hallazgo con responsable y fecha. El plazo depende del nivel: Extremo ≤ 15 días · Alto ≤ 30 · Medio ≤ 90.</t>
        </is>
      </c>
      <c r="D9" s="6" t="n"/>
    </row>
    <row r="11" ht="20" customHeight="1">
      <c r="A11" s="3" t="inlineStr">
        <is>
          <t xml:space="preserve">  FICHA DEL CENTRO DE DISTRIBUCIÓN</t>
        </is>
      </c>
    </row>
    <row r="12" ht="26" customHeight="1">
      <c r="A12" s="7" t="inlineStr"/>
      <c r="B12" s="7" t="inlineStr">
        <is>
          <t>Variable</t>
        </is>
      </c>
      <c r="C12" s="7" t="inlineStr">
        <is>
          <t>Valor</t>
        </is>
      </c>
      <c r="D12" s="7" t="inlineStr">
        <is>
          <t>Por qué importa para calificar el riesgo</t>
        </is>
      </c>
    </row>
    <row r="13" ht="26" customHeight="1">
      <c r="A13" s="8" t="n">
        <v>1</v>
      </c>
      <c r="B13" s="5" t="inlineStr">
        <is>
          <t>Nombre / ciudad del CEDI</t>
        </is>
      </c>
      <c r="C13" s="9" t="n"/>
      <c r="D13" s="5" t="inlineStr">
        <is>
          <t>Marco legal y amenaza natural del sitio</t>
        </is>
      </c>
    </row>
    <row r="14" ht="26" customHeight="1">
      <c r="A14" s="8" t="n">
        <v>2</v>
      </c>
      <c r="B14" s="5" t="inlineStr">
        <is>
          <t>Área cubierta y altura máxima de almacenamiento</t>
        </is>
      </c>
      <c r="C14" s="9" t="n"/>
      <c r="D14" s="5" t="inlineStr">
        <is>
          <t>Por encima de 7,6 m cambian los criterios de protección contra incendio</t>
        </is>
      </c>
    </row>
    <row r="15" ht="26" customHeight="1">
      <c r="A15" s="8" t="n">
        <v>3</v>
      </c>
      <c r="B15" s="5" t="inlineStr">
        <is>
          <t>Posiciones de estiba y % de ocupación promedio y pico</t>
        </is>
      </c>
      <c r="C15" s="9" t="n"/>
      <c r="D15" s="5" t="inlineStr">
        <is>
          <t>Por encima del 85-90% aparecen bloqueos, desorden y accidentes</t>
        </is>
      </c>
    </row>
    <row r="16" ht="26" customHeight="1">
      <c r="A16" s="8" t="n">
        <v>4</v>
      </c>
      <c r="B16" s="5" t="inlineStr">
        <is>
          <t>Unidades o pallets movidos por día y turnos de operación</t>
        </is>
      </c>
      <c r="C16" s="9" t="n"/>
      <c r="D16" s="5" t="inlineStr">
        <is>
          <t>A más movimiento y más horas, mayor exposición</t>
        </is>
      </c>
    </row>
    <row r="17" ht="26" customHeight="1">
      <c r="A17" s="8" t="n">
        <v>5</v>
      </c>
      <c r="B17" s="5" t="inlineStr">
        <is>
          <t>Personas: directas / temporales / contratistas</t>
        </is>
      </c>
      <c r="C17" s="9" t="n"/>
      <c r="D17" s="5" t="inlineStr">
        <is>
          <t>Magnitud de la consecuencia humana y carga de inducción</t>
        </is>
      </c>
    </row>
    <row r="18" ht="26" customHeight="1">
      <c r="A18" s="8" t="n">
        <v>6</v>
      </c>
      <c r="B18" s="5" t="inlineStr">
        <is>
          <t>Tipo de estantería y altura; ¿hay PRRS designado?</t>
        </is>
      </c>
      <c r="C18" s="9" t="n"/>
      <c r="D18" s="5" t="inlineStr">
        <is>
          <t>Define el ciclo de inspección exigido por EN 15635</t>
        </is>
      </c>
    </row>
    <row r="19" ht="26" customHeight="1">
      <c r="A19" s="8" t="n">
        <v>7</v>
      </c>
      <c r="B19" s="5" t="inlineStr">
        <is>
          <t>Fecha de la última inspección experta de estantería</t>
        </is>
      </c>
      <c r="C19" s="9" t="n"/>
      <c r="D19" s="5" t="inlineStr">
        <is>
          <t>Si supera 12 meses, el riesgo de colapso sube</t>
        </is>
      </c>
    </row>
    <row r="20" ht="26" customHeight="1">
      <c r="A20" s="8" t="n">
        <v>8</v>
      </c>
      <c r="B20" s="5" t="inlineStr">
        <is>
          <t>Cantidad y tipo de equipos; operadores certificados</t>
        </is>
      </c>
      <c r="C20" s="9" t="n"/>
      <c r="D20" s="5" t="inlineStr">
        <is>
          <t>Perfil de accidentalidad y déficit de operadores</t>
        </is>
      </c>
    </row>
    <row r="21" ht="26" customHeight="1">
      <c r="A21" s="8" t="n">
        <v>9</v>
      </c>
      <c r="B21" s="5" t="inlineStr">
        <is>
          <t>Número de muelles y tipo (nivelador, rampa, a nivel)</t>
        </is>
      </c>
      <c r="C21" s="9" t="n"/>
      <c r="D21" s="5" t="inlineStr">
        <is>
          <t>Los muelles concentran los accidentes graves</t>
        </is>
      </c>
    </row>
    <row r="22" ht="26" customHeight="1">
      <c r="A22" s="8" t="n">
        <v>10</v>
      </c>
      <c r="B22" s="5" t="inlineStr">
        <is>
          <t>Familias de producto: ¿inflamables, aerosoles, plásticos, litio?</t>
        </is>
      </c>
      <c r="C22" s="9" t="n"/>
      <c r="D22" s="5" t="inlineStr">
        <is>
          <t>Determina si el sistema de rociadores instalado sigue siendo válido</t>
        </is>
      </c>
    </row>
    <row r="23" ht="26" customHeight="1">
      <c r="A23" s="8" t="n">
        <v>11</v>
      </c>
      <c r="B23" s="5" t="inlineStr">
        <is>
          <t>¿Cadena de frío? ¿Mercancías peligrosas? ¿Alto valor?</t>
        </is>
      </c>
      <c r="C23" s="9" t="n"/>
      <c r="D23" s="5" t="inlineStr">
        <is>
          <t>Cada una activa riesgos y requisitos legales propios</t>
        </is>
      </c>
    </row>
    <row r="24" ht="26" customHeight="1">
      <c r="A24" s="8" t="n">
        <v>12</v>
      </c>
      <c r="B24" s="5" t="inlineStr">
        <is>
          <t>Sistema contra incendio: tipo, año y última certificación</t>
        </is>
      </c>
      <c r="C24" s="9" t="n"/>
      <c r="D24" s="5" t="inlineStr">
        <is>
          <t>Es el control decisivo entre un conato y la pérdida total</t>
        </is>
      </c>
    </row>
    <row r="25" ht="26" customHeight="1">
      <c r="A25" s="8" t="n">
        <v>13</v>
      </c>
      <c r="B25" s="5" t="inlineStr">
        <is>
          <t>Zona de amenaza sísmica y ¿zona inundable?</t>
        </is>
      </c>
      <c r="C25" s="9" t="n"/>
      <c r="D25" s="5" t="inlineStr">
        <is>
          <t>Modifican directamente el riesgo de colapso y de pérdida masiva</t>
        </is>
      </c>
    </row>
    <row r="26" ht="26" customHeight="1">
      <c r="A26" s="8" t="n">
        <v>14</v>
      </c>
      <c r="B26" s="5" t="inlineStr">
        <is>
          <t>Valor del inventario pico vs. valor asegurado</t>
        </is>
      </c>
      <c r="C26" s="9" t="n"/>
      <c r="D26" s="5" t="inlineStr">
        <is>
          <t>Define cuánto de la pérdida está realmente transferida</t>
        </is>
      </c>
    </row>
    <row r="27" ht="26" customHeight="1">
      <c r="A27" s="8" t="n">
        <v>15</v>
      </c>
      <c r="B27" s="5" t="inlineStr">
        <is>
          <t>Eventos de los últimos 5 años (incendio, colapso, hurto, accidente)</t>
        </is>
      </c>
      <c r="C27" s="9" t="n"/>
      <c r="D27" s="5" t="inlineStr">
        <is>
          <t>La frecuencia histórica es el mejor estimador de la probabilidad</t>
        </is>
      </c>
    </row>
  </sheetData>
  <mergeCells count="6">
    <mergeCell ref="A5:D5"/>
    <mergeCell ref="C6:D6"/>
    <mergeCell ref="C7:D7"/>
    <mergeCell ref="A11:D11"/>
    <mergeCell ref="C9:D9"/>
    <mergeCell ref="C8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N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74" customWidth="1" min="3" max="3"/>
    <col width="34" customWidth="1" min="4" max="4"/>
    <col width="4" customWidth="1" min="5" max="5"/>
    <col width="4" customWidth="1" min="6" max="6"/>
    <col width="6" customWidth="1" min="7" max="7"/>
    <col width="11" customWidth="1" min="8" max="8"/>
    <col width="30" customWidth="1" min="9" max="9"/>
    <col width="10" customWidth="1" min="10" max="10"/>
    <col width="34" customWidth="1" min="11" max="11"/>
    <col width="18" customWidth="1" min="12" max="12"/>
    <col width="12" customWidth="1" min="13" max="13"/>
    <col width="18" customWidth="1" min="14" max="14"/>
  </cols>
  <sheetData>
    <row r="1">
      <c r="A1" s="1" t="inlineStr">
        <is>
          <t>MATRIZ RÁPIDA DE RIESGOS — 49 PUNTOS DE VERIFICACIÓN</t>
        </is>
      </c>
    </row>
    <row r="2">
      <c r="A2" s="2" t="inlineStr">
        <is>
          <t>Usted solo llena: P, I, Cumple, Hallazgo, Responsable y Fecha (celdas en amarillo).  ·  P e I vienen precargados como riesgo inherente típico: ajústelos con lo que vea en sitio.  ·  La última columna remite a los riesgos de la versión completa por si necesita el detalle.</t>
        </is>
      </c>
    </row>
    <row r="4" ht="44" customHeight="1">
      <c r="A4" s="7" t="inlineStr">
        <is>
          <t>ID</t>
        </is>
      </c>
      <c r="B4" s="7" t="inlineStr">
        <is>
          <t>Categoría</t>
        </is>
      </c>
      <c r="C4" s="7" t="inlineStr">
        <is>
          <t>RIESGO Y QUÉ VERIFICAR</t>
        </is>
      </c>
      <c r="D4" s="7" t="inlineStr">
        <is>
          <t>Consecuencia si falla</t>
        </is>
      </c>
      <c r="E4" s="7" t="inlineStr">
        <is>
          <t>P</t>
        </is>
      </c>
      <c r="F4" s="7" t="inlineStr">
        <is>
          <t>I</t>
        </is>
      </c>
      <c r="G4" s="7" t="inlineStr">
        <is>
          <t>P×I</t>
        </is>
      </c>
      <c r="H4" s="7" t="inlineStr">
        <is>
          <t>Nivel</t>
        </is>
      </c>
      <c r="I4" s="7" t="inlineStr">
        <is>
          <t>Frecuencia mínima de revisión (calculada)</t>
        </is>
      </c>
      <c r="J4" s="7" t="inlineStr">
        <is>
          <t>Cumple</t>
        </is>
      </c>
      <c r="K4" s="7" t="inlineStr">
        <is>
          <t>Hallazgo y acción requerida</t>
        </is>
      </c>
      <c r="L4" s="7" t="inlineStr">
        <is>
          <t>Responsable</t>
        </is>
      </c>
      <c r="M4" s="7" t="inlineStr">
        <is>
          <t>Fecha</t>
        </is>
      </c>
      <c r="N4" s="7" t="inlineStr">
        <is>
          <t>Detalle (versión completa)</t>
        </is>
      </c>
    </row>
    <row r="5" ht="44" customHeight="1">
      <c r="A5" s="10" t="inlineStr">
        <is>
          <t>R-01</t>
        </is>
      </c>
      <c r="B5" s="11" t="inlineStr">
        <is>
          <t>A. Edificio y piso</t>
        </is>
      </c>
      <c r="C5" s="5" t="inlineStr">
        <is>
          <t>ESTRUCTURA Y CUBIERTA. Verificar columnas sin impactos ni corrosión, protectores instalados, y canales, bajantes y tragantes limpios antes de temporada de lluvias.</t>
        </is>
      </c>
      <c r="D5" s="5" t="inlineStr">
        <is>
          <t>Colapso estructural; daño masivo de producto por agua</t>
        </is>
      </c>
      <c r="E5" s="12" t="n">
        <v>3</v>
      </c>
      <c r="F5" s="12" t="n">
        <v>4</v>
      </c>
      <c r="G5" s="10">
        <f>IF(OR($E5="",$F5=""),"",$E5*$F5)</f>
        <v>12</v>
      </c>
      <c r="H5" s="10" t="str">
        <f>IF($G5="","",IF($G5&gt;=20,"Extremo",IF($G5&gt;=12,"Alto",IF($G5&gt;=6,"Medio",IF($G5&gt;=3,"Bajo","Muy bajo")))))</f>
        <v>Alto</v>
      </c>
      <c r="I5" s="5" t="str">
        <f>IFERROR(VLOOKUP($H5,'3. Escalas'!$A$21:$C$25,3,FALSE),"")</f>
        <v>Semanal + inspección formal mensual</v>
      </c>
      <c r="J5" s="12" t="n"/>
      <c r="K5" s="13" t="n"/>
      <c r="L5" s="13" t="n"/>
      <c r="M5" s="14" t="n"/>
      <c r="N5" s="15" t="inlineStr">
        <is>
          <t>A-01, A-02, A-05</t>
        </is>
      </c>
    </row>
    <row r="6" ht="44" customHeight="1">
      <c r="A6" s="10" t="inlineStr">
        <is>
          <t>R-02</t>
        </is>
      </c>
      <c r="B6" s="11" t="inlineStr">
        <is>
          <t>A. Edificio y piso</t>
        </is>
      </c>
      <c r="C6" s="5" t="inlineStr">
        <is>
          <t>SECTORIZACIÓN CONTRA INCENDIO. Verificar muros cortafuego completos, sellos en pasos de ductos y cables, y puertas cortafuego con cierre libre (sin cuñas ni bloqueos).</t>
        </is>
      </c>
      <c r="D6" s="5" t="inlineStr">
        <is>
          <t>Un conato se convierte en pérdida total; se pierde la garantía de la póliza</t>
        </is>
      </c>
      <c r="E6" s="12" t="n">
        <v>3</v>
      </c>
      <c r="F6" s="12" t="n">
        <v>5</v>
      </c>
      <c r="G6" s="10">
        <f>IF(OR($E6="",$F6=""),"",$E6*$F6)</f>
        <v>15</v>
      </c>
      <c r="H6" s="10" t="str">
        <f>IF($G6="","",IF($G6&gt;=20,"Extremo",IF($G6&gt;=12,"Alto",IF($G6&gt;=6,"Medio",IF($G6&gt;=3,"Bajo","Muy bajo")))))</f>
        <v>Alto</v>
      </c>
      <c r="I6" s="5" t="str">
        <f>IFERROR(VLOOKUP($H6,'3. Escalas'!$A$21:$C$25,3,FALSE),"")</f>
        <v>Semanal + inspección formal mensual</v>
      </c>
      <c r="J6" s="12" t="n"/>
      <c r="K6" s="13" t="n"/>
      <c r="L6" s="13" t="n"/>
      <c r="M6" s="14" t="n"/>
      <c r="N6" s="15" t="inlineStr">
        <is>
          <t>A-04</t>
        </is>
      </c>
    </row>
    <row r="7" ht="44" customHeight="1">
      <c r="A7" s="10" t="inlineStr">
        <is>
          <t>R-03</t>
        </is>
      </c>
      <c r="B7" s="11" t="inlineStr">
        <is>
          <t>A. Edificio y piso</t>
        </is>
      </c>
      <c r="C7" s="5" t="inlineStr">
        <is>
          <t>PISO — CAPACIDAD Y FISURAS. Verificar capacidad portante vs. carga actual, planitud en pasillos (crítica en pasillo estrecho) y ausencia de fisuras bajo las placas base de la estantería.</t>
        </is>
      </c>
      <c r="D7" s="5" t="inlineStr">
        <is>
          <t>Anclaje sin capacidad y volcamiento de la línea de racks; mástil fuera de plomo</t>
        </is>
      </c>
      <c r="E7" s="12" t="n">
        <v>3</v>
      </c>
      <c r="F7" s="12" t="n">
        <v>5</v>
      </c>
      <c r="G7" s="10">
        <f>IF(OR($E7="",$F7=""),"",$E7*$F7)</f>
        <v>15</v>
      </c>
      <c r="H7" s="10" t="str">
        <f>IF($G7="","",IF($G7&gt;=20,"Extremo",IF($G7&gt;=12,"Alto",IF($G7&gt;=6,"Medio",IF($G7&gt;=3,"Bajo","Muy bajo")))))</f>
        <v>Alto</v>
      </c>
      <c r="I7" s="5" t="str">
        <f>IFERROR(VLOOKUP($H7,'3. Escalas'!$A$21:$C$25,3,FALSE),"")</f>
        <v>Semanal + inspección formal mensual</v>
      </c>
      <c r="J7" s="12" t="n"/>
      <c r="K7" s="13" t="n"/>
      <c r="L7" s="13" t="n"/>
      <c r="M7" s="14" t="n"/>
      <c r="N7" s="15" t="inlineStr">
        <is>
          <t>A-03, A-07, A-09</t>
        </is>
      </c>
    </row>
    <row r="8" ht="48" customHeight="1">
      <c r="A8" s="10" t="inlineStr">
        <is>
          <t>R-04</t>
        </is>
      </c>
      <c r="B8" s="11" t="inlineStr">
        <is>
          <t>A. Edificio y piso</t>
        </is>
      </c>
      <c r="C8" s="5" t="inlineStr">
        <is>
          <t>PISO — JUNTAS, REJILLAS Y ZONAS ESPECIALES. Verificar sellante y bordes de juntas, rejillas y tapas a nivel, franja frente a muelles sin hundimientos, rampas con textura y drenaje, y contención en zonas de baterías y químicos.</t>
        </is>
      </c>
      <c r="D8" s="5" t="inlineStr">
        <is>
          <t>Daño de equipos, vibración que desestabiliza la carga, derrame sin contener</t>
        </is>
      </c>
      <c r="E8" s="12" t="n">
        <v>4</v>
      </c>
      <c r="F8" s="12" t="n">
        <v>3</v>
      </c>
      <c r="G8" s="10">
        <f>IF(OR($E8="",$F8=""),"",$E8*$F8)</f>
        <v>12</v>
      </c>
      <c r="H8" s="10" t="str">
        <f>IF($G8="","",IF($G8&gt;=20,"Extremo",IF($G8&gt;=12,"Alto",IF($G8&gt;=6,"Medio",IF($G8&gt;=3,"Bajo","Muy bajo")))))</f>
        <v>Alto</v>
      </c>
      <c r="I8" s="5" t="str">
        <f>IFERROR(VLOOKUP($H8,'3. Escalas'!$A$21:$C$25,3,FALSE),"")</f>
        <v>Semanal + inspección formal mensual</v>
      </c>
      <c r="J8" s="12" t="n"/>
      <c r="K8" s="13" t="n"/>
      <c r="L8" s="13" t="n"/>
      <c r="M8" s="14" t="n"/>
      <c r="N8" s="15" t="inlineStr">
        <is>
          <t>A-08, A-14, A-17, A-18, A-19</t>
        </is>
      </c>
    </row>
    <row r="9" ht="48" customHeight="1">
      <c r="A9" s="10" t="inlineStr">
        <is>
          <t>R-05</t>
        </is>
      </c>
      <c r="B9" s="11" t="inlineStr">
        <is>
          <t>A. Edificio y piso</t>
        </is>
      </c>
      <c r="C9" s="5" t="inlineStr">
        <is>
          <t>PISO — DESLIZAMIENTO, HUMEDAD Y DEMARCACIÓN. Verificar superficie antideslizante en zonas húmedas, atención inmediata de derrames, ausencia de condensación y polvo, y demarcación visible de pasillos, senderos y ubicaciones.</t>
        </is>
      </c>
      <c r="D9" s="5" t="inlineStr">
        <is>
          <t>Caídas al mismo nivel; pérdida de la segregación peatón-equipo; contaminación</t>
        </is>
      </c>
      <c r="E9" s="12" t="n">
        <v>4</v>
      </c>
      <c r="F9" s="12" t="n">
        <v>3</v>
      </c>
      <c r="G9" s="10">
        <f>IF(OR($E9="",$F9=""),"",$E9*$F9)</f>
        <v>12</v>
      </c>
      <c r="H9" s="10" t="str">
        <f>IF($G9="","",IF($G9&gt;=20,"Extremo",IF($G9&gt;=12,"Alto",IF($G9&gt;=6,"Medio",IF($G9&gt;=3,"Bajo","Muy bajo")))))</f>
        <v>Alto</v>
      </c>
      <c r="I9" s="5" t="str">
        <f>IFERROR(VLOOKUP($H9,'3. Escalas'!$A$21:$C$25,3,FALSE),"")</f>
        <v>Semanal + inspección formal mensual</v>
      </c>
      <c r="J9" s="12" t="n"/>
      <c r="K9" s="13" t="n"/>
      <c r="L9" s="13" t="n"/>
      <c r="M9" s="14" t="n"/>
      <c r="N9" s="15" t="inlineStr">
        <is>
          <t>A-10, A-11, A-12, A-15, A-16</t>
        </is>
      </c>
    </row>
    <row r="10" ht="44" customHeight="1">
      <c r="A10" s="10" t="inlineStr">
        <is>
          <t>R-06</t>
        </is>
      </c>
      <c r="B10" s="16" t="inlineStr">
        <is>
          <t>B. Estantería</t>
        </is>
      </c>
      <c r="C10" s="5" t="inlineStr">
        <is>
          <t>CAPACIDAD DE CARGA. Verificar placa de carga visible por módulo, peso real del pallet vs. capacidad declarada y memoria de cálculo disponible.</t>
        </is>
      </c>
      <c r="D10" s="5" t="inlineStr">
        <is>
          <t>Colapso progresivo (efecto dominó) con fatalidades y pérdida del inventario</t>
        </is>
      </c>
      <c r="E10" s="12" t="n">
        <v>4</v>
      </c>
      <c r="F10" s="12" t="n">
        <v>5</v>
      </c>
      <c r="G10" s="10">
        <f>IF(OR($E10="",$F10=""),"",$E10*$F10)</f>
        <v>20</v>
      </c>
      <c r="H10" s="10" t="str">
        <f>IF($G10="","",IF($G10&gt;=20,"Extremo",IF($G10&gt;=12,"Alto",IF($G10&gt;=6,"Medio",IF($G10&gt;=3,"Bajo","Muy bajo")))))</f>
        <v>Extremo</v>
      </c>
      <c r="I10" s="5" t="str">
        <f>IFERROR(VLOOKUP($H10,'3. Escalas'!$A$21:$C$25,3,FALSE),"")</f>
        <v>Diaria o por turno + inspección formal semanal</v>
      </c>
      <c r="J10" s="12" t="n"/>
      <c r="K10" s="13" t="n"/>
      <c r="L10" s="13" t="n"/>
      <c r="M10" s="14" t="n"/>
      <c r="N10" s="15" t="inlineStr">
        <is>
          <t>B-01</t>
        </is>
      </c>
    </row>
    <row r="11" ht="44" customHeight="1">
      <c r="A11" s="10" t="inlineStr">
        <is>
          <t>R-07</t>
        </is>
      </c>
      <c r="B11" s="16" t="inlineStr">
        <is>
          <t>B. Estantería</t>
        </is>
      </c>
      <c r="C11" s="5" t="inlineStr">
        <is>
          <t>DAÑO POR IMPACTO. Recorrido semanal del PRRS clasificando el daño verde / ámbar / rojo; los módulos ROJOS se descargan y bloquean de inmediato.</t>
        </is>
      </c>
      <c r="D11" s="5" t="inlineStr">
        <is>
          <t>Pérdida de hasta el 70% de la capacidad del montante y colapso de la línea</t>
        </is>
      </c>
      <c r="E11" s="12" t="n">
        <v>4</v>
      </c>
      <c r="F11" s="12" t="n">
        <v>5</v>
      </c>
      <c r="G11" s="10">
        <f>IF(OR($E11="",$F11=""),"",$E11*$F11)</f>
        <v>20</v>
      </c>
      <c r="H11" s="10" t="str">
        <f>IF($G11="","",IF($G11&gt;=20,"Extremo",IF($G11&gt;=12,"Alto",IF($G11&gt;=6,"Medio",IF($G11&gt;=3,"Bajo","Muy bajo")))))</f>
        <v>Extremo</v>
      </c>
      <c r="I11" s="5" t="str">
        <f>IFERROR(VLOOKUP($H11,'3. Escalas'!$A$21:$C$25,3,FALSE),"")</f>
        <v>Diaria o por turno + inspección formal semanal</v>
      </c>
      <c r="J11" s="12" t="n"/>
      <c r="K11" s="13" t="n"/>
      <c r="L11" s="13" t="n"/>
      <c r="M11" s="14" t="n"/>
      <c r="N11" s="15" t="inlineStr">
        <is>
          <t>B-02</t>
        </is>
      </c>
    </row>
    <row r="12" ht="44" customHeight="1">
      <c r="A12" s="10" t="inlineStr">
        <is>
          <t>R-08</t>
        </is>
      </c>
      <c r="B12" s="16" t="inlineStr">
        <is>
          <t>B. Estantería</t>
        </is>
      </c>
      <c r="C12" s="5" t="inlineStr">
        <is>
          <t>INTEGRIDAD DEL SISTEMA. Verificar anclajes al piso con torque, pasadores de seguridad en vigas, protectores de columna y guardarraíles, y malla antiderrumbe donde el rack da a zonas de personal.</t>
        </is>
      </c>
      <c r="D12" s="5" t="inlineStr">
        <is>
          <t>Volcamiento, desenganche de viga y caída de carga sobre personas</t>
        </is>
      </c>
      <c r="E12" s="12" t="n">
        <v>3</v>
      </c>
      <c r="F12" s="12" t="n">
        <v>5</v>
      </c>
      <c r="G12" s="10">
        <f>IF(OR($E12="",$F12=""),"",$E12*$F12)</f>
        <v>15</v>
      </c>
      <c r="H12" s="10" t="str">
        <f>IF($G12="","",IF($G12&gt;=20,"Extremo",IF($G12&gt;=12,"Alto",IF($G12&gt;=6,"Medio",IF($G12&gt;=3,"Bajo","Muy bajo")))))</f>
        <v>Alto</v>
      </c>
      <c r="I12" s="5" t="str">
        <f>IFERROR(VLOOKUP($H12,'3. Escalas'!$A$21:$C$25,3,FALSE),"")</f>
        <v>Semanal + inspección formal mensual</v>
      </c>
      <c r="J12" s="12" t="n"/>
      <c r="K12" s="13" t="n"/>
      <c r="L12" s="13" t="n"/>
      <c r="M12" s="14" t="n"/>
      <c r="N12" s="15" t="inlineStr">
        <is>
          <t>B-03, B-04, B-05, B-11</t>
        </is>
      </c>
    </row>
    <row r="13" ht="44" customHeight="1">
      <c r="A13" s="10" t="inlineStr">
        <is>
          <t>R-09</t>
        </is>
      </c>
      <c r="B13" s="16" t="inlineStr">
        <is>
          <t>B. Estantería</t>
        </is>
      </c>
      <c r="C13" s="5" t="inlineStr">
        <is>
          <t>CAMBIOS E INSPECCIÓN EXPERTA. Verificar aval técnico escrito para todo cambio de configuración, placas actualizadas e inspección experta anual por tercero competente vigente.</t>
        </is>
      </c>
      <c r="D13" s="5" t="inlineStr">
        <is>
          <t>Pérdida de capacidad no detectada; anulación de la garantía del fabricante</t>
        </is>
      </c>
      <c r="E13" s="12" t="n">
        <v>3</v>
      </c>
      <c r="F13" s="12" t="n">
        <v>5</v>
      </c>
      <c r="G13" s="10">
        <f>IF(OR($E13="",$F13=""),"",$E13*$F13)</f>
        <v>15</v>
      </c>
      <c r="H13" s="10" t="str">
        <f>IF($G13="","",IF($G13&gt;=20,"Extremo",IF($G13&gt;=12,"Alto",IF($G13&gt;=6,"Medio",IF($G13&gt;=3,"Bajo","Muy bajo")))))</f>
        <v>Alto</v>
      </c>
      <c r="I13" s="5" t="str">
        <f>IFERROR(VLOOKUP($H13,'3. Escalas'!$A$21:$C$25,3,FALSE),"")</f>
        <v>Semanal + inspección formal mensual</v>
      </c>
      <c r="J13" s="12" t="n"/>
      <c r="K13" s="13" t="n"/>
      <c r="L13" s="13" t="n"/>
      <c r="M13" s="14" t="n"/>
      <c r="N13" s="15" t="inlineStr">
        <is>
          <t>B-06, B-12</t>
        </is>
      </c>
    </row>
    <row r="14" ht="44" customHeight="1">
      <c r="A14" s="10" t="inlineStr">
        <is>
          <t>R-10</t>
        </is>
      </c>
      <c r="B14" s="16" t="inlineStr">
        <is>
          <t>B. Estantería</t>
        </is>
      </c>
      <c r="C14" s="5" t="inlineStr">
        <is>
          <t>UNIDAD DE CARGA Y APILAMIENTO. Verificar retiro de estibas averiadas antes de subir a rack, calidad del enzunchado o film, y altura y estabilidad de las rumas apiladas en piso.</t>
        </is>
      </c>
      <c r="D14" s="5" t="inlineStr">
        <is>
          <t>Caída de la unidad de carga desde altura; volcamiento de rumas</t>
        </is>
      </c>
      <c r="E14" s="12" t="n">
        <v>4</v>
      </c>
      <c r="F14" s="12" t="n">
        <v>4</v>
      </c>
      <c r="G14" s="10">
        <f>IF(OR($E14="",$F14=""),"",$E14*$F14)</f>
        <v>16</v>
      </c>
      <c r="H14" s="10" t="str">
        <f>IF($G14="","",IF($G14&gt;=20,"Extremo",IF($G14&gt;=12,"Alto",IF($G14&gt;=6,"Medio",IF($G14&gt;=3,"Bajo","Muy bajo")))))</f>
        <v>Alto</v>
      </c>
      <c r="I14" s="5" t="str">
        <f>IFERROR(VLOOKUP($H14,'3. Escalas'!$A$21:$C$25,3,FALSE),"")</f>
        <v>Semanal + inspección formal mensual</v>
      </c>
      <c r="J14" s="12" t="n"/>
      <c r="K14" s="13" t="n"/>
      <c r="L14" s="13" t="n"/>
      <c r="M14" s="14" t="n"/>
      <c r="N14" s="15" t="inlineStr">
        <is>
          <t>B-07, B-08, B-09, B-10</t>
        </is>
      </c>
    </row>
    <row r="15" ht="44" customHeight="1">
      <c r="A15" s="10" t="inlineStr">
        <is>
          <t>R-11</t>
        </is>
      </c>
      <c r="B15" s="17" t="inlineStr">
        <is>
          <t>C. Volumen y ocupación</t>
        </is>
      </c>
      <c r="C15" s="5" t="inlineStr">
        <is>
          <t>OCUPACIÓN Y PASILLOS LIBRES. Verificar % de ocupación vs. capacidad y que pasillos, salidas, extintores, hidrantes y tableros estén libres de obstrucción.</t>
        </is>
      </c>
      <c r="D15" s="5" t="inlineStr">
        <is>
          <t>Evacuación fallida, imposibilidad de atacar un conato, accidentes</t>
        </is>
      </c>
      <c r="E15" s="12" t="n">
        <v>4</v>
      </c>
      <c r="F15" s="12" t="n">
        <v>5</v>
      </c>
      <c r="G15" s="10">
        <f>IF(OR($E15="",$F15=""),"",$E15*$F15)</f>
        <v>20</v>
      </c>
      <c r="H15" s="10" t="str">
        <f>IF($G15="","",IF($G15&gt;=20,"Extremo",IF($G15&gt;=12,"Alto",IF($G15&gt;=6,"Medio",IF($G15&gt;=3,"Bajo","Muy bajo")))))</f>
        <v>Extremo</v>
      </c>
      <c r="I15" s="5" t="str">
        <f>IFERROR(VLOOKUP($H15,'3. Escalas'!$A$21:$C$25,3,FALSE),"")</f>
        <v>Diaria o por turno + inspección formal semanal</v>
      </c>
      <c r="J15" s="12" t="n"/>
      <c r="K15" s="13" t="n"/>
      <c r="L15" s="13" t="n"/>
      <c r="M15" s="14" t="n"/>
      <c r="N15" s="15" t="inlineStr">
        <is>
          <t>C-01, C-03</t>
        </is>
      </c>
    </row>
    <row r="16" ht="44" customHeight="1">
      <c r="A16" s="10" t="inlineStr">
        <is>
          <t>R-12</t>
        </is>
      </c>
      <c r="B16" s="17" t="inlineStr">
        <is>
          <t>C. Volumen y ocupación</t>
        </is>
      </c>
      <c r="C16" s="5" t="inlineStr">
        <is>
          <t>CARGA DE FUEGO VS. PROTECCIÓN. Verificar 45 cm libres bajo rociadores, altura máxima respetada y que la clasificación de la mercancía siga correspondiendo al diseño del sistema.</t>
        </is>
      </c>
      <c r="D16" s="5" t="inlineStr">
        <is>
          <t>El sistema de rociadores no controla el incendio: pérdida total</t>
        </is>
      </c>
      <c r="E16" s="12" t="n">
        <v>4</v>
      </c>
      <c r="F16" s="12" t="n">
        <v>5</v>
      </c>
      <c r="G16" s="10">
        <f>IF(OR($E16="",$F16=""),"",$E16*$F16)</f>
        <v>20</v>
      </c>
      <c r="H16" s="10" t="str">
        <f>IF($G16="","",IF($G16&gt;=20,"Extremo",IF($G16&gt;=12,"Alto",IF($G16&gt;=6,"Medio",IF($G16&gt;=3,"Bajo","Muy bajo")))))</f>
        <v>Extremo</v>
      </c>
      <c r="I16" s="5" t="str">
        <f>IFERROR(VLOOKUP($H16,'3. Escalas'!$A$21:$C$25,3,FALSE),"")</f>
        <v>Diaria o por turno + inspección formal semanal</v>
      </c>
      <c r="J16" s="12" t="n"/>
      <c r="K16" s="13" t="n"/>
      <c r="L16" s="13" t="n"/>
      <c r="M16" s="14" t="n"/>
      <c r="N16" s="15" t="inlineStr">
        <is>
          <t>A-06, C-02</t>
        </is>
      </c>
    </row>
    <row r="17" ht="44" customHeight="1">
      <c r="A17" s="10" t="inlineStr">
        <is>
          <t>R-13</t>
        </is>
      </c>
      <c r="B17" s="17" t="inlineStr">
        <is>
          <t>C. Volumen y ocupación</t>
        </is>
      </c>
      <c r="C17" s="5" t="inlineStr">
        <is>
          <t>PICOS Y CONCENTRACIÓN DE VALOR. Verificar plan de temporada alta (capacidad, personal, inducción) y valor del inventario pico vs. valor asegurado.</t>
        </is>
      </c>
      <c r="D17" s="5" t="inlineStr">
        <is>
          <t>Accidentalidad y desorden en el pico; pérdida no indemnizada</t>
        </is>
      </c>
      <c r="E17" s="12" t="n">
        <v>3</v>
      </c>
      <c r="F17" s="12" t="n">
        <v>4</v>
      </c>
      <c r="G17" s="10">
        <f>IF(OR($E17="",$F17=""),"",$E17*$F17)</f>
        <v>12</v>
      </c>
      <c r="H17" s="10" t="str">
        <f>IF($G17="","",IF($G17&gt;=20,"Extremo",IF($G17&gt;=12,"Alto",IF($G17&gt;=6,"Medio",IF($G17&gt;=3,"Bajo","Muy bajo")))))</f>
        <v>Alto</v>
      </c>
      <c r="I17" s="5" t="str">
        <f>IFERROR(VLOOKUP($H17,'3. Escalas'!$A$21:$C$25,3,FALSE),"")</f>
        <v>Semanal + inspección formal mensual</v>
      </c>
      <c r="J17" s="12" t="n"/>
      <c r="K17" s="13" t="n"/>
      <c r="L17" s="13" t="n"/>
      <c r="M17" s="14" t="n"/>
      <c r="N17" s="15" t="inlineStr">
        <is>
          <t>C-04, C-05, C-06</t>
        </is>
      </c>
    </row>
    <row r="18" ht="44" customHeight="1">
      <c r="A18" s="10" t="inlineStr">
        <is>
          <t>R-14</t>
        </is>
      </c>
      <c r="B18" s="13" t="inlineStr">
        <is>
          <t>D. Muelles y patio</t>
        </is>
      </c>
      <c r="C18" s="5" t="inlineStr">
        <is>
          <t>ASEGURAMIENTO EN MUELLE. Verificar calzo o dock lock antes de cada cargue, control de llaves, barrera en puertas sin vehículo y soporte del semirremolque desacoplado.</t>
        </is>
      </c>
      <c r="D18" s="5" t="inlineStr">
        <is>
          <t>Caída del montacargas al vacío entre muelle y camión: lesión grave o fatal</t>
        </is>
      </c>
      <c r="E18" s="12" t="n">
        <v>3</v>
      </c>
      <c r="F18" s="12" t="n">
        <v>5</v>
      </c>
      <c r="G18" s="10">
        <f>IF(OR($E18="",$F18=""),"",$E18*$F18)</f>
        <v>15</v>
      </c>
      <c r="H18" s="10" t="str">
        <f>IF($G18="","",IF($G18&gt;=20,"Extremo",IF($G18&gt;=12,"Alto",IF($G18&gt;=6,"Medio",IF($G18&gt;=3,"Bajo","Muy bajo")))))</f>
        <v>Alto</v>
      </c>
      <c r="I18" s="5" t="str">
        <f>IFERROR(VLOOKUP($H18,'3. Escalas'!$A$21:$C$25,3,FALSE),"")</f>
        <v>Semanal + inspección formal mensual</v>
      </c>
      <c r="J18" s="12" t="n"/>
      <c r="K18" s="13" t="n"/>
      <c r="L18" s="13" t="n"/>
      <c r="M18" s="14" t="n"/>
      <c r="N18" s="15" t="inlineStr">
        <is>
          <t>D-01, D-02, D-08</t>
        </is>
      </c>
    </row>
    <row r="19" ht="44" customHeight="1">
      <c r="A19" s="10" t="inlineStr">
        <is>
          <t>R-15</t>
        </is>
      </c>
      <c r="B19" s="13" t="inlineStr">
        <is>
          <t>D. Muelles y patio</t>
        </is>
      </c>
      <c r="C19" s="5" t="inlineStr">
        <is>
          <t>TRÁNSITO EN PATIO. Verificar senderos peatonales demarcados, separación de la zona de maniobra, guía en reversa, sala de espera de conductores e iluminación.</t>
        </is>
      </c>
      <c r="D19" s="5" t="inlineStr">
        <is>
          <t>Atropellamiento con resultado fatal</t>
        </is>
      </c>
      <c r="E19" s="12" t="n">
        <v>4</v>
      </c>
      <c r="F19" s="12" t="n">
        <v>4</v>
      </c>
      <c r="G19" s="10">
        <f>IF(OR($E19="",$F19=""),"",$E19*$F19)</f>
        <v>16</v>
      </c>
      <c r="H19" s="10" t="str">
        <f>IF($G19="","",IF($G19&gt;=20,"Extremo",IF($G19&gt;=12,"Alto",IF($G19&gt;=6,"Medio",IF($G19&gt;=3,"Bajo","Muy bajo")))))</f>
        <v>Alto</v>
      </c>
      <c r="I19" s="5" t="str">
        <f>IFERROR(VLOOKUP($H19,'3. Escalas'!$A$21:$C$25,3,FALSE),"")</f>
        <v>Semanal + inspección formal mensual</v>
      </c>
      <c r="J19" s="12" t="n"/>
      <c r="K19" s="13" t="n"/>
      <c r="L19" s="13" t="n"/>
      <c r="M19" s="14" t="n"/>
      <c r="N19" s="15" t="inlineStr">
        <is>
          <t>D-05, D-07, D-10</t>
        </is>
      </c>
    </row>
    <row r="20" ht="44" customHeight="1">
      <c r="A20" s="10" t="inlineStr">
        <is>
          <t>R-16</t>
        </is>
      </c>
      <c r="B20" s="13" t="inlineStr">
        <is>
          <t>D. Muelles y patio</t>
        </is>
      </c>
      <c r="C20" s="5" t="inlineStr">
        <is>
          <t>EQUIPOS DE MUELLE Y PROGRAMACIÓN. Verificar niveladores, puertas y abrigos con mantenimiento al día, y cumplimiento de las ventanas de cita para evitar congestión.</t>
        </is>
      </c>
      <c r="D20" s="5" t="inlineStr">
        <is>
          <t>Falla del nivelador con el equipo encima; maniobras riesgosas por congestión</t>
        </is>
      </c>
      <c r="E20" s="12" t="n">
        <v>3</v>
      </c>
      <c r="F20" s="12" t="n">
        <v>4</v>
      </c>
      <c r="G20" s="10">
        <f>IF(OR($E20="",$F20=""),"",$E20*$F20)</f>
        <v>12</v>
      </c>
      <c r="H20" s="10" t="str">
        <f>IF($G20="","",IF($G20&gt;=20,"Extremo",IF($G20&gt;=12,"Alto",IF($G20&gt;=6,"Medio",IF($G20&gt;=3,"Bajo","Muy bajo")))))</f>
        <v>Alto</v>
      </c>
      <c r="I20" s="5" t="str">
        <f>IFERROR(VLOOKUP($H20,'3. Escalas'!$A$21:$C$25,3,FALSE),"")</f>
        <v>Semanal + inspección formal mensual</v>
      </c>
      <c r="J20" s="12" t="n"/>
      <c r="K20" s="13" t="n"/>
      <c r="L20" s="13" t="n"/>
      <c r="M20" s="14" t="n"/>
      <c r="N20" s="15" t="inlineStr">
        <is>
          <t>D-03, D-04, D-06, D-09</t>
        </is>
      </c>
    </row>
    <row r="21" ht="44" customHeight="1">
      <c r="A21" s="10" t="inlineStr">
        <is>
          <t>R-17</t>
        </is>
      </c>
      <c r="B21" s="18" t="inlineStr">
        <is>
          <t>E. Equipos (MHE)</t>
        </is>
      </c>
      <c r="C21" s="5" t="inlineStr">
        <is>
          <t>COLISIÓN Y VOLCAMIENTO. Verificar segregación peatón-equipo, límites de velocidad, espejos en cruces, uso de cinturón y conducción con carga baja.</t>
        </is>
      </c>
      <c r="D21" s="5" t="inlineStr">
        <is>
          <t>Atropellamiento o aplastamiento del operador: fatalidad</t>
        </is>
      </c>
      <c r="E21" s="12" t="n">
        <v>4</v>
      </c>
      <c r="F21" s="12" t="n">
        <v>5</v>
      </c>
      <c r="G21" s="10">
        <f>IF(OR($E21="",$F21=""),"",$E21*$F21)</f>
        <v>20</v>
      </c>
      <c r="H21" s="10" t="str">
        <f>IF($G21="","",IF($G21&gt;=20,"Extremo",IF($G21&gt;=12,"Alto",IF($G21&gt;=6,"Medio",IF($G21&gt;=3,"Bajo","Muy bajo")))))</f>
        <v>Extremo</v>
      </c>
      <c r="I21" s="5" t="str">
        <f>IFERROR(VLOOKUP($H21,'3. Escalas'!$A$21:$C$25,3,FALSE),"")</f>
        <v>Diaria o por turno + inspección formal semanal</v>
      </c>
      <c r="J21" s="12" t="n"/>
      <c r="K21" s="13" t="n"/>
      <c r="L21" s="13" t="n"/>
      <c r="M21" s="14" t="n"/>
      <c r="N21" s="15" t="inlineStr">
        <is>
          <t>E-01, E-09</t>
        </is>
      </c>
    </row>
    <row r="22" ht="44" customHeight="1">
      <c r="A22" s="10" t="inlineStr">
        <is>
          <t>R-18</t>
        </is>
      </c>
      <c r="B22" s="18" t="inlineStr">
        <is>
          <t>E. Equipos (MHE)</t>
        </is>
      </c>
      <c r="C22" s="5" t="inlineStr">
        <is>
          <t>PREOPERACIONAL Y MANTENIMIENTO. Verificar inspección por turno firmada con bloqueo ante falla crítica, y cumplimiento del preventivo (frenos, mástil, cadenas, horquillas).</t>
        </is>
      </c>
      <c r="D22" s="5" t="inlineStr">
        <is>
          <t>Pérdida de control del equipo o caída de la carga por falla mecánica</t>
        </is>
      </c>
      <c r="E22" s="12" t="n">
        <v>3</v>
      </c>
      <c r="F22" s="12" t="n">
        <v>5</v>
      </c>
      <c r="G22" s="10">
        <f>IF(OR($E22="",$F22=""),"",$E22*$F22)</f>
        <v>15</v>
      </c>
      <c r="H22" s="10" t="str">
        <f>IF($G22="","",IF($G22&gt;=20,"Extremo",IF($G22&gt;=12,"Alto",IF($G22&gt;=6,"Medio",IF($G22&gt;=3,"Bajo","Muy bajo")))))</f>
        <v>Alto</v>
      </c>
      <c r="I22" s="5" t="str">
        <f>IFERROR(VLOOKUP($H22,'3. Escalas'!$A$21:$C$25,3,FALSE),"")</f>
        <v>Semanal + inspección formal mensual</v>
      </c>
      <c r="J22" s="12" t="n"/>
      <c r="K22" s="13" t="n"/>
      <c r="L22" s="13" t="n"/>
      <c r="M22" s="14" t="n"/>
      <c r="N22" s="15" t="inlineStr">
        <is>
          <t>E-02, E-03</t>
        </is>
      </c>
    </row>
    <row r="23" ht="44" customHeight="1">
      <c r="A23" s="10" t="inlineStr">
        <is>
          <t>R-19</t>
        </is>
      </c>
      <c r="B23" s="18" t="inlineStr">
        <is>
          <t>E. Equipos (MHE)</t>
        </is>
      </c>
      <c r="C23" s="5" t="inlineStr">
        <is>
          <t>OPERADORES Y TRABAJO EN ALTURA CON EQUIPO. Verificar matriz de operadores certificados y autorizados por tipo de equipo, y uso de canastilla certificada con arnés (nunca elevar personas en horquillas).</t>
        </is>
      </c>
      <c r="D23" s="5" t="inlineStr">
        <is>
          <t>Accidente grave con responsabilidad legal directa; caída de altura</t>
        </is>
      </c>
      <c r="E23" s="12" t="n">
        <v>3</v>
      </c>
      <c r="F23" s="12" t="n">
        <v>5</v>
      </c>
      <c r="G23" s="10">
        <f>IF(OR($E23="",$F23=""),"",$E23*$F23)</f>
        <v>15</v>
      </c>
      <c r="H23" s="10" t="str">
        <f>IF($G23="","",IF($G23&gt;=20,"Extremo",IF($G23&gt;=12,"Alto",IF($G23&gt;=6,"Medio",IF($G23&gt;=3,"Bajo","Muy bajo")))))</f>
        <v>Alto</v>
      </c>
      <c r="I23" s="5" t="str">
        <f>IFERROR(VLOOKUP($H23,'3. Escalas'!$A$21:$C$25,3,FALSE),"")</f>
        <v>Semanal + inspección formal mensual</v>
      </c>
      <c r="J23" s="12" t="n"/>
      <c r="K23" s="13" t="n"/>
      <c r="L23" s="13" t="n"/>
      <c r="M23" s="14" t="n"/>
      <c r="N23" s="15" t="inlineStr">
        <is>
          <t>E-04, E-07, E-08</t>
        </is>
      </c>
    </row>
    <row r="24" ht="44" customHeight="1">
      <c r="A24" s="10" t="inlineStr">
        <is>
          <t>R-20</t>
        </is>
      </c>
      <c r="B24" s="18" t="inlineStr">
        <is>
          <t>E. Equipos (MHE)</t>
        </is>
      </c>
      <c r="C24" s="5" t="inlineStr">
        <is>
          <t>BATERÍAS Y COMBUSTIBLES. Verificar ventilación de la sala de carga, ducha y lavaojos operativos, kit de derrame, zona dedicada para litio y almacenamiento de cilindros de GLP.</t>
        </is>
      </c>
      <c r="D24" s="5" t="inlineStr">
        <is>
          <t>Explosión por hidrógeno, quemadura química o incendio de batería de litio</t>
        </is>
      </c>
      <c r="E24" s="12" t="n">
        <v>3</v>
      </c>
      <c r="F24" s="12" t="n">
        <v>5</v>
      </c>
      <c r="G24" s="10">
        <f>IF(OR($E24="",$F24=""),"",$E24*$F24)</f>
        <v>15</v>
      </c>
      <c r="H24" s="10" t="str">
        <f>IF($G24="","",IF($G24&gt;=20,"Extremo",IF($G24&gt;=12,"Alto",IF($G24&gt;=6,"Medio",IF($G24&gt;=3,"Bajo","Muy bajo")))))</f>
        <v>Alto</v>
      </c>
      <c r="I24" s="5" t="str">
        <f>IFERROR(VLOOKUP($H24,'3. Escalas'!$A$21:$C$25,3,FALSE),"")</f>
        <v>Semanal + inspección formal mensual</v>
      </c>
      <c r="J24" s="12" t="n"/>
      <c r="K24" s="13" t="n"/>
      <c r="L24" s="13" t="n"/>
      <c r="M24" s="14" t="n"/>
      <c r="N24" s="15" t="inlineStr">
        <is>
          <t>E-05, E-06, E-10</t>
        </is>
      </c>
    </row>
    <row r="25" ht="44" customHeight="1">
      <c r="A25" s="10" t="inlineStr">
        <is>
          <t>R-21</t>
        </is>
      </c>
      <c r="B25" s="19" t="inlineStr">
        <is>
          <t>F. Incendio</t>
        </is>
      </c>
      <c r="C25" s="5" t="inlineStr">
        <is>
          <t>AGUA Y ROCIADORES. Verificar válvulas de control abiertas y aseguradas, presiones, arranque semanal de la bomba y nivel del tanque de reserva.</t>
        </is>
      </c>
      <c r="D25" s="5" t="inlineStr">
        <is>
          <t>Sistema inoperante en el incendio: pérdida total de la instalación</t>
        </is>
      </c>
      <c r="E25" s="12" t="n">
        <v>2</v>
      </c>
      <c r="F25" s="12" t="n">
        <v>5</v>
      </c>
      <c r="G25" s="10">
        <f>IF(OR($E25="",$F25=""),"",$E25*$F25)</f>
        <v>10</v>
      </c>
      <c r="H25" s="10" t="str">
        <f>IF($G25="","",IF($G25&gt;=20,"Extremo",IF($G25&gt;=12,"Alto",IF($G25&gt;=6,"Medio",IF($G25&gt;=3,"Bajo","Muy bajo")))))</f>
        <v>Medio</v>
      </c>
      <c r="I25" s="5" t="str">
        <f>IFERROR(VLOOKUP($H25,'3. Escalas'!$A$21:$C$25,3,FALSE),"")</f>
        <v>Mensual (operativo) o trimestral (estructural)</v>
      </c>
      <c r="J25" s="12" t="n"/>
      <c r="K25" s="13" t="n"/>
      <c r="L25" s="13" t="n"/>
      <c r="M25" s="14" t="n"/>
      <c r="N25" s="15" t="inlineStr">
        <is>
          <t>F-01, F-02</t>
        </is>
      </c>
    </row>
    <row r="26" ht="44" customHeight="1">
      <c r="A26" s="10" t="inlineStr">
        <is>
          <t>R-22</t>
        </is>
      </c>
      <c r="B26" s="19" t="inlineStr">
        <is>
          <t>F. Incendio</t>
        </is>
      </c>
      <c r="C26" s="5" t="inlineStr">
        <is>
          <t>DETECCIÓN, ALARMA Y EVACUACIÓN DE EMERGENCIA. Verificar panel sin fallas, alarma audible en toda la bodega e iluminación de emergencia probada.</t>
        </is>
      </c>
      <c r="D26" s="5" t="inlineStr">
        <is>
          <t>Detección y evacuación tardías: víctimas</t>
        </is>
      </c>
      <c r="E26" s="12" t="n">
        <v>3</v>
      </c>
      <c r="F26" s="12" t="n">
        <v>5</v>
      </c>
      <c r="G26" s="10">
        <f>IF(OR($E26="",$F26=""),"",$E26*$F26)</f>
        <v>15</v>
      </c>
      <c r="H26" s="10" t="str">
        <f>IF($G26="","",IF($G26&gt;=20,"Extremo",IF($G26&gt;=12,"Alto",IF($G26&gt;=6,"Medio",IF($G26&gt;=3,"Bajo","Muy bajo")))))</f>
        <v>Alto</v>
      </c>
      <c r="I26" s="5" t="str">
        <f>IFERROR(VLOOKUP($H26,'3. Escalas'!$A$21:$C$25,3,FALSE),"")</f>
        <v>Semanal + inspección formal mensual</v>
      </c>
      <c r="J26" s="12" t="n"/>
      <c r="K26" s="13" t="n"/>
      <c r="L26" s="13" t="n"/>
      <c r="M26" s="14" t="n"/>
      <c r="N26" s="15" t="inlineStr">
        <is>
          <t>F-03, F-12</t>
        </is>
      </c>
    </row>
    <row r="27" ht="44" customHeight="1">
      <c r="A27" s="10" t="inlineStr">
        <is>
          <t>R-23</t>
        </is>
      </c>
      <c r="B27" s="19" t="inlineStr">
        <is>
          <t>F. Incendio</t>
        </is>
      </c>
      <c r="C27" s="5" t="inlineStr">
        <is>
          <t>EQUIPOS MANUALES. Verificar extintores y gabinetes señalizados, accesibles, con presión y recarga vigente, e hidrantes libres de obstrucción.</t>
        </is>
      </c>
      <c r="D27" s="5" t="inlineStr">
        <is>
          <t>Un conato evoluciona a incendio mayor por falta de respuesta inmediata</t>
        </is>
      </c>
      <c r="E27" s="12" t="n">
        <v>4</v>
      </c>
      <c r="F27" s="12" t="n">
        <v>3</v>
      </c>
      <c r="G27" s="10">
        <f>IF(OR($E27="",$F27=""),"",$E27*$F27)</f>
        <v>12</v>
      </c>
      <c r="H27" s="10" t="str">
        <f>IF($G27="","",IF($G27&gt;=20,"Extremo",IF($G27&gt;=12,"Alto",IF($G27&gt;=6,"Medio",IF($G27&gt;=3,"Bajo","Muy bajo")))))</f>
        <v>Alto</v>
      </c>
      <c r="I27" s="5" t="str">
        <f>IFERROR(VLOOKUP($H27,'3. Escalas'!$A$21:$C$25,3,FALSE),"")</f>
        <v>Semanal + inspección formal mensual</v>
      </c>
      <c r="J27" s="12" t="n"/>
      <c r="K27" s="13" t="n"/>
      <c r="L27" s="13" t="n"/>
      <c r="M27" s="14" t="n"/>
      <c r="N27" s="15" t="inlineStr">
        <is>
          <t>F-04, F-05</t>
        </is>
      </c>
    </row>
    <row r="28" ht="44" customHeight="1">
      <c r="A28" s="10" t="inlineStr">
        <is>
          <t>R-24</t>
        </is>
      </c>
      <c r="B28" s="19" t="inlineStr">
        <is>
          <t>F. Incendio</t>
        </is>
      </c>
      <c r="C28" s="5" t="inlineStr">
        <is>
          <t>FUENTES DE IGNICIÓN Y COMBUSTIBLES. Verificar inflamables y aerosoles en zona dedicada, permiso y vigía en trabajos en caliente, ausencia de extensiones improvisadas y patio de estibas separado del edificio.</t>
        </is>
      </c>
      <c r="D28" s="5" t="inlineStr">
        <is>
          <t>Incendio de origen eléctrico o por trabajo en caliente: la causa más frecuente</t>
        </is>
      </c>
      <c r="E28" s="12" t="n">
        <v>4</v>
      </c>
      <c r="F28" s="12" t="n">
        <v>5</v>
      </c>
      <c r="G28" s="10">
        <f>IF(OR($E28="",$F28=""),"",$E28*$F28)</f>
        <v>20</v>
      </c>
      <c r="H28" s="10" t="str">
        <f>IF($G28="","",IF($G28&gt;=20,"Extremo",IF($G28&gt;=12,"Alto",IF($G28&gt;=6,"Medio",IF($G28&gt;=3,"Bajo","Muy bajo")))))</f>
        <v>Extremo</v>
      </c>
      <c r="I28" s="5" t="str">
        <f>IFERROR(VLOOKUP($H28,'3. Escalas'!$A$21:$C$25,3,FALSE),"")</f>
        <v>Diaria o por turno + inspección formal semanal</v>
      </c>
      <c r="J28" s="12" t="n"/>
      <c r="K28" s="13" t="n"/>
      <c r="L28" s="13" t="n"/>
      <c r="M28" s="14" t="n"/>
      <c r="N28" s="15" t="inlineStr">
        <is>
          <t>F-06, F-07, F-08, F-09</t>
        </is>
      </c>
    </row>
    <row r="29" ht="44" customHeight="1">
      <c r="A29" s="10" t="inlineStr">
        <is>
          <t>R-25</t>
        </is>
      </c>
      <c r="B29" s="19" t="inlineStr">
        <is>
          <t>F. Incendio</t>
        </is>
      </c>
      <c r="C29" s="5" t="inlineStr">
        <is>
          <t>PREPARACIÓN PARA LA EMERGENCIA. Verificar rutas y salidas libres y señalizadas, brigada entrenada por turno, plan de emergencia actualizado y simulacro del último semestre.</t>
        </is>
      </c>
      <c r="D29" s="5" t="inlineStr">
        <is>
          <t>Respuesta descoordinada y evacuación fallida</t>
        </is>
      </c>
      <c r="E29" s="12" t="n">
        <v>3</v>
      </c>
      <c r="F29" s="12" t="n">
        <v>5</v>
      </c>
      <c r="G29" s="10">
        <f>IF(OR($E29="",$F29=""),"",$E29*$F29)</f>
        <v>15</v>
      </c>
      <c r="H29" s="10" t="str">
        <f>IF($G29="","",IF($G29&gt;=20,"Extremo",IF($G29&gt;=12,"Alto",IF($G29&gt;=6,"Medio",IF($G29&gt;=3,"Bajo","Muy bajo")))))</f>
        <v>Alto</v>
      </c>
      <c r="I29" s="5" t="str">
        <f>IFERROR(VLOOKUP($H29,'3. Escalas'!$A$21:$C$25,3,FALSE),"")</f>
        <v>Semanal + inspección formal mensual</v>
      </c>
      <c r="J29" s="12" t="n"/>
      <c r="K29" s="13" t="n"/>
      <c r="L29" s="13" t="n"/>
      <c r="M29" s="14" t="n"/>
      <c r="N29" s="15" t="inlineStr">
        <is>
          <t>F-10, F-11, F-13</t>
        </is>
      </c>
    </row>
    <row r="30" ht="44" customHeight="1">
      <c r="A30" s="10" t="inlineStr">
        <is>
          <t>R-26</t>
        </is>
      </c>
      <c r="B30" s="20" t="inlineStr">
        <is>
          <t>G. Riesgos naturales</t>
        </is>
      </c>
      <c r="C30" s="5" t="inlineStr">
        <is>
          <t>SISMO. Verificar diseño sísmico del edificio y de la estantería, anclajes, retención de carga en niveles altos y protocolo de inspección obligatoria antes de reingresar tras un sismo.</t>
        </is>
      </c>
      <c r="D30" s="5" t="inlineStr">
        <is>
          <t>Colapso con víctimas múltiples e interrupción prolongada</t>
        </is>
      </c>
      <c r="E30" s="12" t="n">
        <v>2</v>
      </c>
      <c r="F30" s="12" t="n">
        <v>5</v>
      </c>
      <c r="G30" s="10">
        <f>IF(OR($E30="",$F30=""),"",$E30*$F30)</f>
        <v>10</v>
      </c>
      <c r="H30" s="10" t="str">
        <f>IF($G30="","",IF($G30&gt;=20,"Extremo",IF($G30&gt;=12,"Alto",IF($G30&gt;=6,"Medio",IF($G30&gt;=3,"Bajo","Muy bajo")))))</f>
        <v>Medio</v>
      </c>
      <c r="I30" s="5" t="str">
        <f>IFERROR(VLOOKUP($H30,'3. Escalas'!$A$21:$C$25,3,FALSE),"")</f>
        <v>Mensual (operativo) o trimestral (estructural)</v>
      </c>
      <c r="J30" s="12" t="n"/>
      <c r="K30" s="13" t="n"/>
      <c r="L30" s="13" t="n"/>
      <c r="M30" s="14" t="n"/>
      <c r="N30" s="15" t="inlineStr">
        <is>
          <t>G-01, G-02, G-03</t>
        </is>
      </c>
    </row>
    <row r="31" ht="44" customHeight="1">
      <c r="A31" s="10" t="inlineStr">
        <is>
          <t>R-27</t>
        </is>
      </c>
      <c r="B31" s="20" t="inlineStr">
        <is>
          <t>G. Riesgos naturales</t>
        </is>
      </c>
      <c r="C31" s="5" t="inlineStr">
        <is>
          <t>AGUA Y VIENTO. Verificar drenajes y capacidad de evacuación de agua, fijaciones de cubierta, elementos sueltos en patio y que no haya producto sensible directamente en piso en zona inundable.</t>
        </is>
      </c>
      <c r="D31" s="5" t="inlineStr">
        <is>
          <t>Pérdida masiva de producto y daño de equipos eléctricos</t>
        </is>
      </c>
      <c r="E31" s="12" t="n">
        <v>3</v>
      </c>
      <c r="F31" s="12" t="n">
        <v>5</v>
      </c>
      <c r="G31" s="10">
        <f>IF(OR($E31="",$F31=""),"",$E31*$F31)</f>
        <v>15</v>
      </c>
      <c r="H31" s="10" t="str">
        <f>IF($G31="","",IF($G31&gt;=20,"Extremo",IF($G31&gt;=12,"Alto",IF($G31&gt;=6,"Medio",IF($G31&gt;=3,"Bajo","Muy bajo")))))</f>
        <v>Alto</v>
      </c>
      <c r="I31" s="5" t="str">
        <f>IFERROR(VLOOKUP($H31,'3. Escalas'!$A$21:$C$25,3,FALSE),"")</f>
        <v>Semanal + inspección formal mensual</v>
      </c>
      <c r="J31" s="12" t="n"/>
      <c r="K31" s="13" t="n"/>
      <c r="L31" s="13" t="n"/>
      <c r="M31" s="14" t="n"/>
      <c r="N31" s="15" t="inlineStr">
        <is>
          <t>G-04, G-05, G-06</t>
        </is>
      </c>
    </row>
    <row r="32" ht="44" customHeight="1">
      <c r="A32" s="10" t="inlineStr">
        <is>
          <t>R-28</t>
        </is>
      </c>
      <c r="B32" s="20" t="inlineStr">
        <is>
          <t>G. Riesgos naturales</t>
        </is>
      </c>
      <c r="C32" s="5" t="inlineStr">
        <is>
          <t>ENTORNO Y RESPUESTA EXTERNA. Verificar actividades peligrosas colindantes, sistema de protección contra rayos, y tiempo de respuesta y acceso del cuerpo de bomberos.</t>
        </is>
      </c>
      <c r="D32" s="5" t="inlineStr">
        <is>
          <t>Siniestro del vecino que se propaga; control tardío del incendio</t>
        </is>
      </c>
      <c r="E32" s="12" t="n">
        <v>2</v>
      </c>
      <c r="F32" s="12" t="n">
        <v>5</v>
      </c>
      <c r="G32" s="10">
        <f>IF(OR($E32="",$F32=""),"",$E32*$F32)</f>
        <v>10</v>
      </c>
      <c r="H32" s="10" t="str">
        <f>IF($G32="","",IF($G32&gt;=20,"Extremo",IF($G32&gt;=12,"Alto",IF($G32&gt;=6,"Medio",IF($G32&gt;=3,"Bajo","Muy bajo")))))</f>
        <v>Medio</v>
      </c>
      <c r="I32" s="5" t="str">
        <f>IFERROR(VLOOKUP($H32,'3. Escalas'!$A$21:$C$25,3,FALSE),"")</f>
        <v>Mensual (operativo) o trimestral (estructural)</v>
      </c>
      <c r="J32" s="12" t="n"/>
      <c r="K32" s="13" t="n"/>
      <c r="L32" s="13" t="n"/>
      <c r="M32" s="14" t="n"/>
      <c r="N32" s="15" t="inlineStr">
        <is>
          <t>G-07, G-08, G-09</t>
        </is>
      </c>
    </row>
    <row r="33" ht="44" customHeight="1">
      <c r="A33" s="10" t="inlineStr">
        <is>
          <t>R-29</t>
        </is>
      </c>
      <c r="B33" s="21" t="inlineStr">
        <is>
          <t>H. Eléctrico y servicios</t>
        </is>
      </c>
      <c r="C33" s="5" t="inlineStr">
        <is>
          <t>INSTALACIÓN ELÉCTRICA. Verificar termografía anual con cierre de anomalías, tableros cerrados, rotulados y despejados, y mantenimiento de la subestación.</t>
        </is>
      </c>
      <c r="D33" s="5" t="inlineStr">
        <is>
          <t>Incendio de origen eléctrico y paro total de la operación</t>
        </is>
      </c>
      <c r="E33" s="12" t="n">
        <v>3</v>
      </c>
      <c r="F33" s="12" t="n">
        <v>5</v>
      </c>
      <c r="G33" s="10">
        <f>IF(OR($E33="",$F33=""),"",$E33*$F33)</f>
        <v>15</v>
      </c>
      <c r="H33" s="10" t="str">
        <f>IF($G33="","",IF($G33&gt;=20,"Extremo",IF($G33&gt;=12,"Alto",IF($G33&gt;=6,"Medio",IF($G33&gt;=3,"Bajo","Muy bajo")))))</f>
        <v>Alto</v>
      </c>
      <c r="I33" s="5" t="str">
        <f>IFERROR(VLOOKUP($H33,'3. Escalas'!$A$21:$C$25,3,FALSE),"")</f>
        <v>Semanal + inspección formal mensual</v>
      </c>
      <c r="J33" s="12" t="n"/>
      <c r="K33" s="13" t="n"/>
      <c r="L33" s="13" t="n"/>
      <c r="M33" s="14" t="n"/>
      <c r="N33" s="15" t="inlineStr">
        <is>
          <t>H-01, H-02</t>
        </is>
      </c>
    </row>
    <row r="34" ht="44" customHeight="1">
      <c r="A34" s="10" t="inlineStr">
        <is>
          <t>R-30</t>
        </is>
      </c>
      <c r="B34" s="21" t="inlineStr">
        <is>
          <t>H. Eléctrico y servicios</t>
        </is>
      </c>
      <c r="C34" s="5" t="inlineStr">
        <is>
          <t>RESPALDO Y REFRIGERACIÓN. Verificar prueba mensual con carga de la planta, alcance del respaldo sobre sistemas críticos y mantenimiento y detección de fugas del sistema de frío.</t>
        </is>
      </c>
      <c r="D34" s="5" t="inlineStr">
        <is>
          <t>Pérdida del WMS, del CCTV y del inventario refrigerado; fuga tóxica</t>
        </is>
      </c>
      <c r="E34" s="12" t="n">
        <v>3</v>
      </c>
      <c r="F34" s="12" t="n">
        <v>4</v>
      </c>
      <c r="G34" s="10">
        <f>IF(OR($E34="",$F34=""),"",$E34*$F34)</f>
        <v>12</v>
      </c>
      <c r="H34" s="10" t="str">
        <f>IF($G34="","",IF($G34&gt;=20,"Extremo",IF($G34&gt;=12,"Alto",IF($G34&gt;=6,"Medio",IF($G34&gt;=3,"Bajo","Muy bajo")))))</f>
        <v>Alto</v>
      </c>
      <c r="I34" s="5" t="str">
        <f>IFERROR(VLOOKUP($H34,'3. Escalas'!$A$21:$C$25,3,FALSE),"")</f>
        <v>Semanal + inspección formal mensual</v>
      </c>
      <c r="J34" s="12" t="n"/>
      <c r="K34" s="13" t="n"/>
      <c r="L34" s="13" t="n"/>
      <c r="M34" s="14" t="n"/>
      <c r="N34" s="15" t="inlineStr">
        <is>
          <t>H-03, H-04, H-05</t>
        </is>
      </c>
    </row>
    <row r="35" ht="44" customHeight="1">
      <c r="A35" s="10" t="inlineStr">
        <is>
          <t>R-31</t>
        </is>
      </c>
      <c r="B35" s="22" t="inlineStr">
        <is>
          <t>I. Seguridad física</t>
        </is>
      </c>
      <c r="C35" s="5" t="inlineStr">
        <is>
          <t>HURTO Y PÉRDIDA DESCONOCIDA. Verificar conteos cíclicos, control de salida de personal y vehículos, jaula de alto valor y análisis de los ajustes de inventario.</t>
        </is>
      </c>
      <c r="D35" s="5" t="inlineStr">
        <is>
          <t>Pérdida económica recurrente y deterioro del clima laboral</t>
        </is>
      </c>
      <c r="E35" s="12" t="n">
        <v>4</v>
      </c>
      <c r="F35" s="12" t="n">
        <v>4</v>
      </c>
      <c r="G35" s="10">
        <f>IF(OR($E35="",$F35=""),"",$E35*$F35)</f>
        <v>16</v>
      </c>
      <c r="H35" s="10" t="str">
        <f>IF($G35="","",IF($G35&gt;=20,"Extremo",IF($G35&gt;=12,"Alto",IF($G35&gt;=6,"Medio",IF($G35&gt;=3,"Bajo","Muy bajo")))))</f>
        <v>Alto</v>
      </c>
      <c r="I35" s="5" t="str">
        <f>IFERROR(VLOOKUP($H35,'3. Escalas'!$A$21:$C$25,3,FALSE),"")</f>
        <v>Semanal + inspección formal mensual</v>
      </c>
      <c r="J35" s="12" t="n"/>
      <c r="K35" s="13" t="n"/>
      <c r="L35" s="13" t="n"/>
      <c r="M35" s="14" t="n"/>
      <c r="N35" s="15" t="inlineStr">
        <is>
          <t>I-01</t>
        </is>
      </c>
    </row>
    <row r="36" ht="44" customHeight="1">
      <c r="A36" s="10" t="inlineStr">
        <is>
          <t>R-32</t>
        </is>
      </c>
      <c r="B36" s="22" t="inlineStr">
        <is>
          <t>I. Seguridad física</t>
        </is>
      </c>
      <c r="C36" s="5" t="inlineStr">
        <is>
          <t>CONTROL DE ACCESO Y VIGILANCIA. Verificar registro de visitantes, contratistas y conductores, cobertura y retención del CCTV, y estado del cerramiento e iluminación perimetral.</t>
        </is>
      </c>
      <c r="D36" s="5" t="inlineStr">
        <is>
          <t>Intrusión, hurto, sabotaje; imposibilidad de investigar</t>
        </is>
      </c>
      <c r="E36" s="12" t="n">
        <v>3</v>
      </c>
      <c r="F36" s="12" t="n">
        <v>4</v>
      </c>
      <c r="G36" s="10">
        <f>IF(OR($E36="",$F36=""),"",$E36*$F36)</f>
        <v>12</v>
      </c>
      <c r="H36" s="10" t="str">
        <f>IF($G36="","",IF($G36&gt;=20,"Extremo",IF($G36&gt;=12,"Alto",IF($G36&gt;=6,"Medio",IF($G36&gt;=3,"Bajo","Muy bajo")))))</f>
        <v>Alto</v>
      </c>
      <c r="I36" s="5" t="str">
        <f>IFERROR(VLOOKUP($H36,'3. Escalas'!$A$21:$C$25,3,FALSE),"")</f>
        <v>Semanal + inspección formal mensual</v>
      </c>
      <c r="J36" s="12" t="n"/>
      <c r="K36" s="13" t="n"/>
      <c r="L36" s="13" t="n"/>
      <c r="M36" s="14" t="n"/>
      <c r="N36" s="15" t="inlineStr">
        <is>
          <t>I-02, I-03, I-04, I-07</t>
        </is>
      </c>
    </row>
    <row r="37" ht="44" customHeight="1">
      <c r="A37" s="10" t="inlineStr">
        <is>
          <t>R-33</t>
        </is>
      </c>
      <c r="B37" s="22" t="inlineStr">
        <is>
          <t>I. Seguridad física</t>
        </is>
      </c>
      <c r="C37" s="5" t="inlineStr">
        <is>
          <t>PROTECCIÓN DE LA CARGA. Verificar inspección del contenedor antes del cargue, control y trazabilidad de sellos y validación de identidad del conductor contra la programación.</t>
        </is>
      </c>
      <c r="D37" s="5" t="inlineStr">
        <is>
          <t>Contaminación de la carga, pérdida de certificación, entrega a suplantador</t>
        </is>
      </c>
      <c r="E37" s="12" t="n">
        <v>2</v>
      </c>
      <c r="F37" s="12" t="n">
        <v>5</v>
      </c>
      <c r="G37" s="10">
        <f>IF(OR($E37="",$F37=""),"",$E37*$F37)</f>
        <v>10</v>
      </c>
      <c r="H37" s="10" t="str">
        <f>IF($G37="","",IF($G37&gt;=20,"Extremo",IF($G37&gt;=12,"Alto",IF($G37&gt;=6,"Medio",IF($G37&gt;=3,"Bajo","Muy bajo")))))</f>
        <v>Medio</v>
      </c>
      <c r="I37" s="5" t="str">
        <f>IFERROR(VLOOKUP($H37,'3. Escalas'!$A$21:$C$25,3,FALSE),"")</f>
        <v>Mensual (operativo) o trimestral (estructural)</v>
      </c>
      <c r="J37" s="12" t="n"/>
      <c r="K37" s="13" t="n"/>
      <c r="L37" s="13" t="n"/>
      <c r="M37" s="14" t="n"/>
      <c r="N37" s="15" t="inlineStr">
        <is>
          <t>I-05, I-06, I-08</t>
        </is>
      </c>
    </row>
    <row r="38" ht="44" customHeight="1">
      <c r="A38" s="10" t="inlineStr">
        <is>
          <t>R-34</t>
        </is>
      </c>
      <c r="B38" s="23" t="inlineStr">
        <is>
          <t>J. Tecnología</t>
        </is>
      </c>
      <c r="C38" s="5" t="inlineStr">
        <is>
          <t>DISPONIBILIDAD DEL WMS. Verificar esquema de respaldo y alta disponibilidad, y que el procedimiento manual de contingencia exista y esté probado.</t>
        </is>
      </c>
      <c r="D38" s="5" t="inlineStr">
        <is>
          <t>Parálisis total de recibo, picking y despacho</t>
        </is>
      </c>
      <c r="E38" s="12" t="n">
        <v>3</v>
      </c>
      <c r="F38" s="12" t="n">
        <v>5</v>
      </c>
      <c r="G38" s="10">
        <f>IF(OR($E38="",$F38=""),"",$E38*$F38)</f>
        <v>15</v>
      </c>
      <c r="H38" s="10" t="str">
        <f>IF($G38="","",IF($G38&gt;=20,"Extremo",IF($G38&gt;=12,"Alto",IF($G38&gt;=6,"Medio",IF($G38&gt;=3,"Bajo","Muy bajo")))))</f>
        <v>Alto</v>
      </c>
      <c r="I38" s="5" t="str">
        <f>IFERROR(VLOOKUP($H38,'3. Escalas'!$A$21:$C$25,3,FALSE),"")</f>
        <v>Semanal + inspección formal mensual</v>
      </c>
      <c r="J38" s="12" t="n"/>
      <c r="K38" s="13" t="n"/>
      <c r="L38" s="13" t="n"/>
      <c r="M38" s="14" t="n"/>
      <c r="N38" s="15" t="inlineStr">
        <is>
          <t>J-01, J-03</t>
        </is>
      </c>
    </row>
    <row r="39" ht="44" customHeight="1">
      <c r="A39" s="10" t="inlineStr">
        <is>
          <t>R-35</t>
        </is>
      </c>
      <c r="B39" s="23" t="inlineStr">
        <is>
          <t>J. Tecnología</t>
        </is>
      </c>
      <c r="C39" s="5" t="inlineStr">
        <is>
          <t>CIBERSEGURIDAD Y DATOS. Verificar respaldo probado (regla 3-2-1), segmentación de red, control de accesos, parches y retención de registros de trazabilidad.</t>
        </is>
      </c>
      <c r="D39" s="5" t="inlineStr">
        <is>
          <t>Ransomware con paro total y pérdida de trazabilidad</t>
        </is>
      </c>
      <c r="E39" s="12" t="n">
        <v>3</v>
      </c>
      <c r="F39" s="12" t="n">
        <v>5</v>
      </c>
      <c r="G39" s="10">
        <f>IF(OR($E39="",$F39=""),"",$E39*$F39)</f>
        <v>15</v>
      </c>
      <c r="H39" s="10" t="str">
        <f>IF($G39="","",IF($G39&gt;=20,"Extremo",IF($G39&gt;=12,"Alto",IF($G39&gt;=6,"Medio",IF($G39&gt;=3,"Bajo","Muy bajo")))))</f>
        <v>Alto</v>
      </c>
      <c r="I39" s="5" t="str">
        <f>IFERROR(VLOOKUP($H39,'3. Escalas'!$A$21:$C$25,3,FALSE),"")</f>
        <v>Semanal + inspección formal mensual</v>
      </c>
      <c r="J39" s="12" t="n"/>
      <c r="K39" s="13" t="n"/>
      <c r="L39" s="13" t="n"/>
      <c r="M39" s="14" t="n"/>
      <c r="N39" s="15" t="inlineStr">
        <is>
          <t>J-02, J-04</t>
        </is>
      </c>
    </row>
    <row r="40" ht="44" customHeight="1">
      <c r="A40" s="10" t="inlineStr">
        <is>
          <t>R-36</t>
        </is>
      </c>
      <c r="B40" s="24" t="inlineStr">
        <is>
          <t>K. Personas (SST)</t>
        </is>
      </c>
      <c r="C40" s="5" t="inlineStr">
        <is>
          <t>ERGONOMÍA. Verificar matriz de riesgo ergonómico, límites de peso, ayudas mecánicas, alturas de picking y pausas activas.</t>
        </is>
      </c>
      <c r="D40" s="5" t="inlineStr">
        <is>
          <t>Incapacidades prolongadas, ausentismo y demandas laborales</t>
        </is>
      </c>
      <c r="E40" s="12" t="n">
        <v>4</v>
      </c>
      <c r="F40" s="12" t="n">
        <v>3</v>
      </c>
      <c r="G40" s="10">
        <f>IF(OR($E40="",$F40=""),"",$E40*$F40)</f>
        <v>12</v>
      </c>
      <c r="H40" s="10" t="str">
        <f>IF($G40="","",IF($G40&gt;=20,"Extremo",IF($G40&gt;=12,"Alto",IF($G40&gt;=6,"Medio",IF($G40&gt;=3,"Bajo","Muy bajo")))))</f>
        <v>Alto</v>
      </c>
      <c r="I40" s="5" t="str">
        <f>IFERROR(VLOOKUP($H40,'3. Escalas'!$A$21:$C$25,3,FALSE),"")</f>
        <v>Semanal + inspección formal mensual</v>
      </c>
      <c r="J40" s="12" t="n"/>
      <c r="K40" s="13" t="n"/>
      <c r="L40" s="13" t="n"/>
      <c r="M40" s="14" t="n"/>
      <c r="N40" s="15" t="inlineStr">
        <is>
          <t>K-01</t>
        </is>
      </c>
    </row>
    <row r="41" ht="44" customHeight="1">
      <c r="A41" s="10" t="inlineStr">
        <is>
          <t>R-37</t>
        </is>
      </c>
      <c r="B41" s="24" t="inlineStr">
        <is>
          <t>K. Personas (SST)</t>
        </is>
      </c>
      <c r="C41" s="5" t="inlineStr">
        <is>
          <t>CAÍDAS. Verificar orden y aseo, atención inmediata de derrames y que todo trabajo en altura tenga permiso, certificación vigente y arnés anclado a punto certificado.</t>
        </is>
      </c>
      <c r="D41" s="5" t="inlineStr">
        <is>
          <t>Caída de altura con resultado fatal; lesiones por caída al mismo nivel</t>
        </is>
      </c>
      <c r="E41" s="12" t="n">
        <v>4</v>
      </c>
      <c r="F41" s="12" t="n">
        <v>4</v>
      </c>
      <c r="G41" s="10">
        <f>IF(OR($E41="",$F41=""),"",$E41*$F41)</f>
        <v>16</v>
      </c>
      <c r="H41" s="10" t="str">
        <f>IF($G41="","",IF($G41&gt;=20,"Extremo",IF($G41&gt;=12,"Alto",IF($G41&gt;=6,"Medio",IF($G41&gt;=3,"Bajo","Muy bajo")))))</f>
        <v>Alto</v>
      </c>
      <c r="I41" s="5" t="str">
        <f>IFERROR(VLOOKUP($H41,'3. Escalas'!$A$21:$C$25,3,FALSE),"")</f>
        <v>Semanal + inspección formal mensual</v>
      </c>
      <c r="J41" s="12" t="n"/>
      <c r="K41" s="13" t="n"/>
      <c r="L41" s="13" t="n"/>
      <c r="M41" s="14" t="n"/>
      <c r="N41" s="15" t="inlineStr">
        <is>
          <t>K-02, K-03</t>
        </is>
      </c>
    </row>
    <row r="42" ht="44" customHeight="1">
      <c r="A42" s="10" t="inlineStr">
        <is>
          <t>R-38</t>
        </is>
      </c>
      <c r="B42" s="24" t="inlineStr">
        <is>
          <t>K. Personas (SST)</t>
        </is>
      </c>
      <c r="C42" s="5" t="inlineStr">
        <is>
          <t>COMPETENCIA Y ROTACIÓN. Verificar inducción documentada antes del ingreso a piso para personal nuevo, temporal y contratistas, y acompañamiento en el puesto.</t>
        </is>
      </c>
      <c r="D42" s="5" t="inlineStr">
        <is>
          <t>Accidentes y errores por personal sin competencia</t>
        </is>
      </c>
      <c r="E42" s="12" t="n">
        <v>4</v>
      </c>
      <c r="F42" s="12" t="n">
        <v>4</v>
      </c>
      <c r="G42" s="10">
        <f>IF(OR($E42="",$F42=""),"",$E42*$F42)</f>
        <v>16</v>
      </c>
      <c r="H42" s="10" t="str">
        <f>IF($G42="","",IF($G42&gt;=20,"Extremo",IF($G42&gt;=12,"Alto",IF($G42&gt;=6,"Medio",IF($G42&gt;=3,"Bajo","Muy bajo")))))</f>
        <v>Alto</v>
      </c>
      <c r="I42" s="5" t="str">
        <f>IFERROR(VLOOKUP($H42,'3. Escalas'!$A$21:$C$25,3,FALSE),"")</f>
        <v>Semanal + inspección formal mensual</v>
      </c>
      <c r="J42" s="12" t="n"/>
      <c r="K42" s="13" t="n"/>
      <c r="L42" s="13" t="n"/>
      <c r="M42" s="14" t="n"/>
      <c r="N42" s="15" t="inlineStr">
        <is>
          <t>K-06, K-07</t>
        </is>
      </c>
    </row>
    <row r="43" ht="44" customHeight="1">
      <c r="A43" s="10" t="inlineStr">
        <is>
          <t>R-39</t>
        </is>
      </c>
      <c r="B43" s="24" t="inlineStr">
        <is>
          <t>K. Personas (SST)</t>
        </is>
      </c>
      <c r="C43" s="5" t="inlineStr">
        <is>
          <t>CONDICIONES DE TRABAJO Y ATENCIÓN MÉDICA. Verificar mediciones higiénicas vigentes, control de exposición a frío y calor, espacios confinados con permiso y botiquines y camillas por turno.</t>
        </is>
      </c>
      <c r="D43" s="5" t="inlineStr">
        <is>
          <t>Enfermedad laboral; agravamiento de una lesión por atención tardía</t>
        </is>
      </c>
      <c r="E43" s="12" t="n">
        <v>3</v>
      </c>
      <c r="F43" s="12" t="n">
        <v>3</v>
      </c>
      <c r="G43" s="10">
        <f>IF(OR($E43="",$F43=""),"",$E43*$F43)</f>
        <v>9</v>
      </c>
      <c r="H43" s="10" t="str">
        <f>IF($G43="","",IF($G43&gt;=20,"Extremo",IF($G43&gt;=12,"Alto",IF($G43&gt;=6,"Medio",IF($G43&gt;=3,"Bajo","Muy bajo")))))</f>
        <v>Medio</v>
      </c>
      <c r="I43" s="5" t="str">
        <f>IFERROR(VLOOKUP($H43,'3. Escalas'!$A$21:$C$25,3,FALSE),"")</f>
        <v>Mensual (operativo) o trimestral (estructural)</v>
      </c>
      <c r="J43" s="12" t="n"/>
      <c r="K43" s="13" t="n"/>
      <c r="L43" s="13" t="n"/>
      <c r="M43" s="14" t="n"/>
      <c r="N43" s="15" t="inlineStr">
        <is>
          <t>K-04, K-05, K-08, K-09</t>
        </is>
      </c>
    </row>
    <row r="44" ht="44" customHeight="1">
      <c r="A44" s="10" t="inlineStr">
        <is>
          <t>R-40</t>
        </is>
      </c>
      <c r="B44" s="25" t="inlineStr">
        <is>
          <t>L. Producto y calidad</t>
        </is>
      </c>
      <c r="C44" s="5" t="inlineStr">
        <is>
          <t>CADENA DE FRÍO. Verificar monitoreo continuo con alarma, calibración de sensores, tiempo máximo en muelle y plan de contingencia ante falla del equipo o de la energía.</t>
        </is>
      </c>
      <c r="D44" s="5" t="inlineStr">
        <is>
          <t>Pérdida total del lote, riesgo sanitario y sanción del ente regulador</t>
        </is>
      </c>
      <c r="E44" s="12" t="n">
        <v>3</v>
      </c>
      <c r="F44" s="12" t="n">
        <v>5</v>
      </c>
      <c r="G44" s="10">
        <f>IF(OR($E44="",$F44=""),"",$E44*$F44)</f>
        <v>15</v>
      </c>
      <c r="H44" s="10" t="str">
        <f>IF($G44="","",IF($G44&gt;=20,"Extremo",IF($G44&gt;=12,"Alto",IF($G44&gt;=6,"Medio",IF($G44&gt;=3,"Bajo","Muy bajo")))))</f>
        <v>Alto</v>
      </c>
      <c r="I44" s="5" t="str">
        <f>IFERROR(VLOOKUP($H44,'3. Escalas'!$A$21:$C$25,3,FALSE),"")</f>
        <v>Semanal + inspección formal mensual</v>
      </c>
      <c r="J44" s="12" t="n"/>
      <c r="K44" s="13" t="n"/>
      <c r="L44" s="13" t="n"/>
      <c r="M44" s="14" t="n"/>
      <c r="N44" s="15" t="inlineStr">
        <is>
          <t>L-01</t>
        </is>
      </c>
    </row>
    <row r="45" ht="44" customHeight="1">
      <c r="A45" s="10" t="inlineStr">
        <is>
          <t>R-41</t>
        </is>
      </c>
      <c r="B45" s="25" t="inlineStr">
        <is>
          <t>L. Producto y calidad</t>
        </is>
      </c>
      <c r="C45" s="5" t="inlineStr">
        <is>
          <t>SANIDAD Y CONDICIONES DE ALMACENAMIENTO. Verificar programa de plagas con tendencia, producto sobre estiba y separado de muros, y control de humedad y limpieza.</t>
        </is>
      </c>
      <c r="D45" s="5" t="inlineStr">
        <is>
          <t>Contaminación del producto y cierre sanitario</t>
        </is>
      </c>
      <c r="E45" s="12" t="n">
        <v>3</v>
      </c>
      <c r="F45" s="12" t="n">
        <v>4</v>
      </c>
      <c r="G45" s="10">
        <f>IF(OR($E45="",$F45=""),"",$E45*$F45)</f>
        <v>12</v>
      </c>
      <c r="H45" s="10" t="str">
        <f>IF($G45="","",IF($G45&gt;=20,"Extremo",IF($G45&gt;=12,"Alto",IF($G45&gt;=6,"Medio",IF($G45&gt;=3,"Bajo","Muy bajo")))))</f>
        <v>Alto</v>
      </c>
      <c r="I45" s="5" t="str">
        <f>IFERROR(VLOOKUP($H45,'3. Escalas'!$A$21:$C$25,3,FALSE),"")</f>
        <v>Semanal + inspección formal mensual</v>
      </c>
      <c r="J45" s="12" t="n"/>
      <c r="K45" s="13" t="n"/>
      <c r="L45" s="13" t="n"/>
      <c r="M45" s="14" t="n"/>
      <c r="N45" s="15" t="inlineStr">
        <is>
          <t>L-02, L-09</t>
        </is>
      </c>
    </row>
    <row r="46" ht="44" customHeight="1">
      <c r="A46" s="10" t="inlineStr">
        <is>
          <t>R-42</t>
        </is>
      </c>
      <c r="B46" s="25" t="inlineStr">
        <is>
          <t>L. Producto y calidad</t>
        </is>
      </c>
      <c r="C46" s="5" t="inlineStr">
        <is>
          <t>SEGREGACIÓN Y MERCANCÍAS PELIGROSAS. Verificar matriz de compatibilidad, químicos separados de alimentos, rotulado y fichas de seguridad accesibles y kit de derrames.</t>
        </is>
      </c>
      <c r="D46" s="5" t="inlineStr">
        <is>
          <t>Contaminación cruzada, recall, derrame con sanción ambiental</t>
        </is>
      </c>
      <c r="E46" s="12" t="n">
        <v>3</v>
      </c>
      <c r="F46" s="12" t="n">
        <v>5</v>
      </c>
      <c r="G46" s="10">
        <f>IF(OR($E46="",$F46=""),"",$E46*$F46)</f>
        <v>15</v>
      </c>
      <c r="H46" s="10" t="str">
        <f>IF($G46="","",IF($G46&gt;=20,"Extremo",IF($G46&gt;=12,"Alto",IF($G46&gt;=6,"Medio",IF($G46&gt;=3,"Bajo","Muy bajo")))))</f>
        <v>Alto</v>
      </c>
      <c r="I46" s="5" t="str">
        <f>IFERROR(VLOOKUP($H46,'3. Escalas'!$A$21:$C$25,3,FALSE),"")</f>
        <v>Semanal + inspección formal mensual</v>
      </c>
      <c r="J46" s="12" t="n"/>
      <c r="K46" s="13" t="n"/>
      <c r="L46" s="13" t="n"/>
      <c r="M46" s="14" t="n"/>
      <c r="N46" s="15" t="inlineStr">
        <is>
          <t>L-03, L-05, L-06</t>
        </is>
      </c>
    </row>
    <row r="47" ht="44" customHeight="1">
      <c r="A47" s="10" t="inlineStr">
        <is>
          <t>R-43</t>
        </is>
      </c>
      <c r="B47" s="25" t="inlineStr">
        <is>
          <t>L. Producto y calidad</t>
        </is>
      </c>
      <c r="C47" s="5" t="inlineStr">
        <is>
          <t>INVENTARIO Y TRAZABILIDAD. Verificar FEFO y bloqueo de vencidos, conteos cíclicos con análisis de causa, indicador de averías y simulacro anual de recall.</t>
        </is>
      </c>
      <c r="D47" s="5" t="inlineStr">
        <is>
          <t>Despacho de producto vencido, quiebres, recall no focalizado</t>
        </is>
      </c>
      <c r="E47" s="12" t="n">
        <v>4</v>
      </c>
      <c r="F47" s="12" t="n">
        <v>3</v>
      </c>
      <c r="G47" s="10">
        <f>IF(OR($E47="",$F47=""),"",$E47*$F47)</f>
        <v>12</v>
      </c>
      <c r="H47" s="10" t="str">
        <f>IF($G47="","",IF($G47&gt;=20,"Extremo",IF($G47&gt;=12,"Alto",IF($G47&gt;=6,"Medio",IF($G47&gt;=3,"Bajo","Muy bajo")))))</f>
        <v>Alto</v>
      </c>
      <c r="I47" s="5" t="str">
        <f>IFERROR(VLOOKUP($H47,'3. Escalas'!$A$21:$C$25,3,FALSE),"")</f>
        <v>Semanal + inspección formal mensual</v>
      </c>
      <c r="J47" s="12" t="n"/>
      <c r="K47" s="13" t="n"/>
      <c r="L47" s="13" t="n"/>
      <c r="M47" s="14" t="n"/>
      <c r="N47" s="15" t="inlineStr">
        <is>
          <t>L-04, L-07, L-08, L-10</t>
        </is>
      </c>
    </row>
    <row r="48" ht="44" customHeight="1">
      <c r="A48" s="10" t="inlineStr">
        <is>
          <t>R-44</t>
        </is>
      </c>
      <c r="B48" s="26" t="inlineStr">
        <is>
          <t>M. Operación</t>
        </is>
      </c>
      <c r="C48" s="5" t="inlineStr">
        <is>
          <t>CAPACIDAD, FLUJOS Y GESTIÓN. Verificar capacidad por proceso vs. demanda, cruces de flujo en el layout, área y antigüedad de las devoluciones, y tablero de indicadores con acciones cerradas.</t>
        </is>
      </c>
      <c r="D48" s="5" t="inlineStr">
        <is>
          <t>Incumplimiento del nivel de servicio, sobrecostos y desorden operativo</t>
        </is>
      </c>
      <c r="E48" s="12" t="n">
        <v>4</v>
      </c>
      <c r="F48" s="12" t="n">
        <v>3</v>
      </c>
      <c r="G48" s="10">
        <f>IF(OR($E48="",$F48=""),"",$E48*$F48)</f>
        <v>12</v>
      </c>
      <c r="H48" s="10" t="str">
        <f>IF($G48="","",IF($G48&gt;=20,"Extremo",IF($G48&gt;=12,"Alto",IF($G48&gt;=6,"Medio",IF($G48&gt;=3,"Bajo","Muy bajo")))))</f>
        <v>Alto</v>
      </c>
      <c r="I48" s="5" t="str">
        <f>IFERROR(VLOOKUP($H48,'3. Escalas'!$A$21:$C$25,3,FALSE),"")</f>
        <v>Semanal + inspección formal mensual</v>
      </c>
      <c r="J48" s="12" t="n"/>
      <c r="K48" s="13" t="n"/>
      <c r="L48" s="13" t="n"/>
      <c r="M48" s="14" t="n"/>
      <c r="N48" s="15" t="inlineStr">
        <is>
          <t>M-01 a M-05</t>
        </is>
      </c>
    </row>
    <row r="49" ht="44" customHeight="1">
      <c r="A49" s="10" t="inlineStr">
        <is>
          <t>R-45</t>
        </is>
      </c>
      <c r="B49" s="27" t="inlineStr">
        <is>
          <t>N. Terceros</t>
        </is>
      </c>
      <c r="C49" s="5" t="inlineStr">
        <is>
          <t>CONTRATISTAS Y TRABAJOS ESPECIALIZADOS. Verificar homologación documental, inducción previa, permisos de trabajo y que el montaje o modificación de racks lo haga personal calificado.</t>
        </is>
      </c>
      <c r="D49" s="5" t="inlineStr">
        <is>
          <t>Accidente con responsabilidad solidaria; colapso posterior de estantería</t>
        </is>
      </c>
      <c r="E49" s="12" t="n">
        <v>3</v>
      </c>
      <c r="F49" s="12" t="n">
        <v>5</v>
      </c>
      <c r="G49" s="10">
        <f>IF(OR($E49="",$F49=""),"",$E49*$F49)</f>
        <v>15</v>
      </c>
      <c r="H49" s="10" t="str">
        <f>IF($G49="","",IF($G49&gt;=20,"Extremo",IF($G49&gt;=12,"Alto",IF($G49&gt;=6,"Medio",IF($G49&gt;=3,"Bajo","Muy bajo")))))</f>
        <v>Alto</v>
      </c>
      <c r="I49" s="5" t="str">
        <f>IFERROR(VLOOKUP($H49,'3. Escalas'!$A$21:$C$25,3,FALSE),"")</f>
        <v>Semanal + inspección formal mensual</v>
      </c>
      <c r="J49" s="12" t="n"/>
      <c r="K49" s="13" t="n"/>
      <c r="L49" s="13" t="n"/>
      <c r="M49" s="14" t="n"/>
      <c r="N49" s="15" t="inlineStr">
        <is>
          <t>N-01, N-02</t>
        </is>
      </c>
    </row>
    <row r="50" ht="44" customHeight="1">
      <c r="A50" s="10" t="inlineStr">
        <is>
          <t>R-46</t>
        </is>
      </c>
      <c r="B50" s="27" t="inlineStr">
        <is>
          <t>N. Terceros</t>
        </is>
      </c>
      <c r="C50" s="5" t="inlineStr">
        <is>
          <t>OPERADOR LOGÍSTICO Y TRANSPORTISTAS. Verificar contrato con indicadores y requisitos de HSE, auditoría del tercero y checklist de aptitud del vehículo antes del cargue.</t>
        </is>
      </c>
      <c r="D50" s="5" t="inlineStr">
        <is>
          <t>Pérdida de control operativo, accidente en vía, pérdida de la carga</t>
        </is>
      </c>
      <c r="E50" s="12" t="n">
        <v>3</v>
      </c>
      <c r="F50" s="12" t="n">
        <v>4</v>
      </c>
      <c r="G50" s="10">
        <f>IF(OR($E50="",$F50=""),"",$E50*$F50)</f>
        <v>12</v>
      </c>
      <c r="H50" s="10" t="str">
        <f>IF($G50="","",IF($G50&gt;=20,"Extremo",IF($G50&gt;=12,"Alto",IF($G50&gt;=6,"Medio",IF($G50&gt;=3,"Bajo","Muy bajo")))))</f>
        <v>Alto</v>
      </c>
      <c r="I50" s="5" t="str">
        <f>IFERROR(VLOOKUP($H50,'3. Escalas'!$A$21:$C$25,3,FALSE),"")</f>
        <v>Semanal + inspección formal mensual</v>
      </c>
      <c r="J50" s="12" t="n"/>
      <c r="K50" s="13" t="n"/>
      <c r="L50" s="13" t="n"/>
      <c r="M50" s="14" t="n"/>
      <c r="N50" s="15" t="inlineStr">
        <is>
          <t>N-03, N-04</t>
        </is>
      </c>
    </row>
    <row r="51" ht="44" customHeight="1">
      <c r="A51" s="10" t="inlineStr">
        <is>
          <t>R-47</t>
        </is>
      </c>
      <c r="B51" s="28" t="inlineStr">
        <is>
          <t>O. Legal y continuidad</t>
        </is>
      </c>
      <c r="C51" s="5" t="inlineStr">
        <is>
          <t>CUMPLIMIENTO LEGAL. Verificar matriz de requisitos con fechas de vencimiento (bomberos, sanitario, ambiental, uso de suelo) y autoevaluación del SG-SST con su plan de trabajo.</t>
        </is>
      </c>
      <c r="D51" s="5" t="inlineStr">
        <is>
          <t>Cierre del establecimiento, multas e invalidación de la póliza</t>
        </is>
      </c>
      <c r="E51" s="12" t="n">
        <v>2</v>
      </c>
      <c r="F51" s="12" t="n">
        <v>5</v>
      </c>
      <c r="G51" s="10">
        <f>IF(OR($E51="",$F51=""),"",$E51*$F51)</f>
        <v>10</v>
      </c>
      <c r="H51" s="10" t="str">
        <f>IF($G51="","",IF($G51&gt;=20,"Extremo",IF($G51&gt;=12,"Alto",IF($G51&gt;=6,"Medio",IF($G51&gt;=3,"Bajo","Muy bajo")))))</f>
        <v>Medio</v>
      </c>
      <c r="I51" s="5" t="str">
        <f>IFERROR(VLOOKUP($H51,'3. Escalas'!$A$21:$C$25,3,FALSE),"")</f>
        <v>Mensual (operativo) o trimestral (estructural)</v>
      </c>
      <c r="J51" s="12" t="n"/>
      <c r="K51" s="13" t="n"/>
      <c r="L51" s="13" t="n"/>
      <c r="M51" s="14" t="n"/>
      <c r="N51" s="15" t="inlineStr">
        <is>
          <t>O-01, O-03</t>
        </is>
      </c>
    </row>
    <row r="52" ht="44" customHeight="1">
      <c r="A52" s="10" t="inlineStr">
        <is>
          <t>R-48</t>
        </is>
      </c>
      <c r="B52" s="28" t="inlineStr">
        <is>
          <t>O. Legal y continuidad</t>
        </is>
      </c>
      <c r="C52" s="5" t="inlineStr">
        <is>
          <t>ASEGURAMIENTO. Verificar valores asegurados vs. valor de reposición, cumplimiento de las garantías de la póliza y cierre de las recomendaciones de la aseguradora.</t>
        </is>
      </c>
      <c r="D52" s="5" t="inlineStr">
        <is>
          <t>Siniestro no indemnizado que compromete la viabilidad del negocio</t>
        </is>
      </c>
      <c r="E52" s="12" t="n">
        <v>2</v>
      </c>
      <c r="F52" s="12" t="n">
        <v>5</v>
      </c>
      <c r="G52" s="10">
        <f>IF(OR($E52="",$F52=""),"",$E52*$F52)</f>
        <v>10</v>
      </c>
      <c r="H52" s="10" t="str">
        <f>IF($G52="","",IF($G52&gt;=20,"Extremo",IF($G52&gt;=12,"Alto",IF($G52&gt;=6,"Medio",IF($G52&gt;=3,"Bajo","Muy bajo")))))</f>
        <v>Medio</v>
      </c>
      <c r="I52" s="5" t="str">
        <f>IFERROR(VLOOKUP($H52,'3. Escalas'!$A$21:$C$25,3,FALSE),"")</f>
        <v>Mensual (operativo) o trimestral (estructural)</v>
      </c>
      <c r="J52" s="12" t="n"/>
      <c r="K52" s="13" t="n"/>
      <c r="L52" s="13" t="n"/>
      <c r="M52" s="14" t="n"/>
      <c r="N52" s="15" t="inlineStr">
        <is>
          <t>O-02</t>
        </is>
      </c>
    </row>
    <row r="53" ht="44" customHeight="1">
      <c r="A53" s="10" t="inlineStr">
        <is>
          <t>R-49</t>
        </is>
      </c>
      <c r="B53" s="28" t="inlineStr">
        <is>
          <t>O. Legal y continuidad</t>
        </is>
      </c>
      <c r="C53" s="5" t="inlineStr">
        <is>
          <t>CONTINUIDAD DEL NEGOCIO. Verificar plan de continuidad probado con RTO definido, alternativas ante bloqueo o paro, y cierre de las lecciones aprendidas de eventos anteriores.</t>
        </is>
      </c>
      <c r="D53" s="5" t="inlineStr">
        <is>
          <t>Interrupción prolongada del abastecimiento y pérdida de clientes</t>
        </is>
      </c>
      <c r="E53" s="12" t="n">
        <v>3</v>
      </c>
      <c r="F53" s="12" t="n">
        <v>5</v>
      </c>
      <c r="G53" s="10">
        <f>IF(OR($E53="",$F53=""),"",$E53*$F53)</f>
        <v>15</v>
      </c>
      <c r="H53" s="10" t="str">
        <f>IF($G53="","",IF($G53&gt;=20,"Extremo",IF($G53&gt;=12,"Alto",IF($G53&gt;=6,"Medio",IF($G53&gt;=3,"Bajo","Muy bajo")))))</f>
        <v>Alto</v>
      </c>
      <c r="I53" s="5" t="str">
        <f>IFERROR(VLOOKUP($H53,'3. Escalas'!$A$21:$C$25,3,FALSE),"")</f>
        <v>Semanal + inspección formal mensual</v>
      </c>
      <c r="J53" s="12" t="n"/>
      <c r="K53" s="13" t="n"/>
      <c r="L53" s="13" t="n"/>
      <c r="M53" s="14" t="n"/>
      <c r="N53" s="15" t="inlineStr">
        <is>
          <t>O-04, O-05, O-06, O-07</t>
        </is>
      </c>
    </row>
  </sheetData>
  <autoFilter ref="A4:N53"/>
  <mergeCells count="2">
    <mergeCell ref="A1:I1"/>
    <mergeCell ref="A2:K2"/>
  </mergeCells>
  <conditionalFormatting sqref="H5:H53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"Medio"</formula>
    </cfRule>
    <cfRule type="cellIs" priority="4" operator="equal" dxfId="3">
      <formula>"Bajo"</formula>
    </cfRule>
    <cfRule type="cellIs" priority="5" operator="equal" dxfId="4">
      <formula>"Muy bajo"</formula>
    </cfRule>
  </conditionalFormatting>
  <conditionalFormatting sqref="J5:J53">
    <cfRule type="cellIs" priority="6" operator="equal" dxfId="0">
      <formula>"No"</formula>
    </cfRule>
    <cfRule type="cellIs" priority="7" operator="equal" dxfId="2">
      <formula>"Parcial"</formula>
    </cfRule>
    <cfRule type="cellIs" priority="8" operator="equal" dxfId="3">
      <formula>"Sí"</formula>
    </cfRule>
  </conditionalFormatting>
  <dataValidations count="2">
    <dataValidation sqref="E5:F53" showDropDown="0" showInputMessage="0" showErrorMessage="0" allowBlank="1" promptTitle="Escala 1 a 5" prompt="Ver la hoja '3. Escalas'" type="list">
      <formula1>"1,2,3,4,5"</formula1>
    </dataValidation>
    <dataValidation sqref="J5:J53" showDropDown="0" showInputMessage="0" showErrorMessage="0" allowBlank="1" type="list">
      <formula1>"Sí,Parcial,No,N.A."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6" customWidth="1" min="3" max="3"/>
    <col width="30" customWidth="1" min="4" max="4"/>
    <col width="26" customWidth="1" min="5" max="5"/>
  </cols>
  <sheetData>
    <row r="1">
      <c r="A1" s="1" t="inlineStr">
        <is>
          <t>ESCALAS Y CRITERIOS DE FRECUENCIA</t>
        </is>
      </c>
    </row>
    <row r="3" ht="20" customHeight="1">
      <c r="A3" s="3" t="inlineStr">
        <is>
          <t xml:space="preserve">  PROBABILIDAD — ¿qué tan factible es que ocurra?</t>
        </is>
      </c>
    </row>
    <row r="4" ht="26" customHeight="1">
      <c r="A4" s="7" t="inlineStr">
        <is>
          <t>Valor</t>
        </is>
      </c>
      <c r="B4" s="7" t="inlineStr">
        <is>
          <t>Descriptor</t>
        </is>
      </c>
      <c r="C4" s="7" t="inlineStr">
        <is>
          <t>Criterio de frecuencia</t>
        </is>
      </c>
      <c r="D4" s="7" t="inlineStr">
        <is>
          <t>Histórico en la instalación</t>
        </is>
      </c>
      <c r="E4" s="7" t="inlineStr">
        <is>
          <t>Estado del control</t>
        </is>
      </c>
    </row>
    <row r="5" ht="25" customHeight="1">
      <c r="A5" s="10" t="n">
        <v>1</v>
      </c>
      <c r="B5" s="5" t="inlineStr">
        <is>
          <t>Raro</t>
        </is>
      </c>
      <c r="C5" s="5" t="inlineStr">
        <is>
          <t>Menos de 1 vez cada 10 años</t>
        </is>
      </c>
      <c r="D5" s="5" t="inlineStr">
        <is>
          <t>Nunca ha ocurrido aquí ni en el sector</t>
        </is>
      </c>
      <c r="E5" s="5" t="inlineStr">
        <is>
          <t>Control robusto y verificado</t>
        </is>
      </c>
    </row>
    <row r="6" ht="25" customHeight="1">
      <c r="A6" s="10" t="n">
        <v>2</v>
      </c>
      <c r="B6" s="5" t="inlineStr">
        <is>
          <t>Improbable</t>
        </is>
      </c>
      <c r="C6" s="5" t="inlineStr">
        <is>
          <t>1 vez cada 5 a 10 años</t>
        </is>
      </c>
      <c r="D6" s="5" t="inlineStr">
        <is>
          <t>Ha ocurrido en el sector, no aquí</t>
        </is>
      </c>
      <c r="E6" s="5" t="inlineStr">
        <is>
          <t>Control funciona, desviaciones menores</t>
        </is>
      </c>
    </row>
    <row r="7" ht="25" customHeight="1">
      <c r="A7" s="10" t="n">
        <v>3</v>
      </c>
      <c r="B7" s="5" t="inlineStr">
        <is>
          <t>Posible</t>
        </is>
      </c>
      <c r="C7" s="5" t="inlineStr">
        <is>
          <t>1 vez cada 1 a 5 años</t>
        </is>
      </c>
      <c r="D7" s="5" t="inlineStr">
        <is>
          <t>Ya ocurrió al menos una vez aquí</t>
        </is>
      </c>
      <c r="E7" s="5" t="inlineStr">
        <is>
          <t>Control existe, cumplimiento irregular</t>
        </is>
      </c>
    </row>
    <row r="8" ht="25" customHeight="1">
      <c r="A8" s="10" t="n">
        <v>4</v>
      </c>
      <c r="B8" s="5" t="inlineStr">
        <is>
          <t>Probable</t>
        </is>
      </c>
      <c r="C8" s="5" t="inlineStr">
        <is>
          <t>Varias veces al año</t>
        </is>
      </c>
      <c r="D8" s="5" t="inlineStr">
        <is>
          <t>Recurrente; hay casi-accidentes</t>
        </is>
      </c>
      <c r="E8" s="5" t="inlineStr">
        <is>
          <t>Control débil o informal</t>
        </is>
      </c>
    </row>
    <row r="9" ht="25" customHeight="1">
      <c r="A9" s="10" t="n">
        <v>5</v>
      </c>
      <c r="B9" s="5" t="inlineStr">
        <is>
          <t>Casi seguro</t>
        </is>
      </c>
      <c r="C9" s="5" t="inlineStr">
        <is>
          <t>Mensual o más frecuente</t>
        </is>
      </c>
      <c r="D9" s="5" t="inlineStr">
        <is>
          <t>Es parte del día a día</t>
        </is>
      </c>
      <c r="E9" s="5" t="inlineStr">
        <is>
          <t>No hay control o está fuera de servicio</t>
        </is>
      </c>
    </row>
    <row r="11" ht="20" customHeight="1">
      <c r="A11" s="3" t="inlineStr">
        <is>
          <t xml:space="preserve">  IMPACTO — se toma el PEOR de los criterios</t>
        </is>
      </c>
    </row>
    <row r="12" ht="26" customHeight="1">
      <c r="A12" s="7" t="inlineStr">
        <is>
          <t>Valor</t>
        </is>
      </c>
      <c r="B12" s="7" t="inlineStr">
        <is>
          <t>Descriptor</t>
        </is>
      </c>
      <c r="C12" s="7" t="inlineStr">
        <is>
          <t>Personas</t>
        </is>
      </c>
      <c r="D12" s="7" t="inlineStr">
        <is>
          <t>Operación</t>
        </is>
      </c>
      <c r="E12" s="7" t="inlineStr">
        <is>
          <t>Económico y legal</t>
        </is>
      </c>
    </row>
    <row r="13" ht="24" customHeight="1">
      <c r="A13" s="10" t="n">
        <v>1</v>
      </c>
      <c r="B13" s="5" t="inlineStr">
        <is>
          <t>Insignificante</t>
        </is>
      </c>
      <c r="C13" s="5" t="inlineStr">
        <is>
          <t>Sin lesión</t>
        </is>
      </c>
      <c r="D13" s="5" t="inlineStr">
        <is>
          <t>Sin afectación</t>
        </is>
      </c>
      <c r="E13" s="5" t="inlineStr">
        <is>
          <t>Pérdida marginal</t>
        </is>
      </c>
    </row>
    <row r="14" ht="25" customHeight="1">
      <c r="A14" s="10" t="n">
        <v>2</v>
      </c>
      <c r="B14" s="5" t="inlineStr">
        <is>
          <t>Menor</t>
        </is>
      </c>
      <c r="C14" s="5" t="inlineStr">
        <is>
          <t>Lesión leve sin incapacidad</t>
        </is>
      </c>
      <c r="D14" s="5" t="inlineStr">
        <is>
          <t>Retraso de horas</t>
        </is>
      </c>
      <c r="E14" s="5" t="inlineStr">
        <is>
          <t>Pérdida menor; observación interna</t>
        </is>
      </c>
    </row>
    <row r="15" ht="25" customHeight="1">
      <c r="A15" s="10" t="n">
        <v>3</v>
      </c>
      <c r="B15" s="5" t="inlineStr">
        <is>
          <t>Moderado</t>
        </is>
      </c>
      <c r="C15" s="5" t="inlineStr">
        <is>
          <t>Incapacidad temporal</t>
        </is>
      </c>
      <c r="D15" s="5" t="inlineStr">
        <is>
          <t>Paro de un turno o proceso</t>
        </is>
      </c>
      <c r="E15" s="5" t="inlineStr">
        <is>
          <t>Afecta el resultado del mes; reclamo de cliente</t>
        </is>
      </c>
    </row>
    <row r="16" ht="25" customHeight="1">
      <c r="A16" s="10" t="n">
        <v>4</v>
      </c>
      <c r="B16" s="5" t="inlineStr">
        <is>
          <t>Mayor</t>
        </is>
      </c>
      <c r="C16" s="5" t="inlineStr">
        <is>
          <t>Lesión grave o varios lesionados</t>
        </is>
      </c>
      <c r="D16" s="5" t="inlineStr">
        <is>
          <t>Paro de varios días</t>
        </is>
      </c>
      <c r="E16" s="5" t="inlineStr">
        <is>
          <t>Supera el deducible; sanción y daño reputacional</t>
        </is>
      </c>
    </row>
    <row r="17" ht="37.5" customHeight="1">
      <c r="A17" s="10" t="n">
        <v>5</v>
      </c>
      <c r="B17" s="5" t="inlineStr">
        <is>
          <t>Catastrófico</t>
        </is>
      </c>
      <c r="C17" s="5" t="inlineStr">
        <is>
          <t>Una o varias fatalidades</t>
        </is>
      </c>
      <c r="D17" s="5" t="inlineStr">
        <is>
          <t>Pérdida del CEDI</t>
        </is>
      </c>
      <c r="E17" s="5" t="inlineStr">
        <is>
          <t>Pérdida no asegurada; cierre o responsabilidad penal</t>
        </is>
      </c>
    </row>
    <row r="19" ht="20" customHeight="1">
      <c r="A19" s="3" t="inlineStr">
        <is>
          <t xml:space="preserve">  NIVEL DE RIESGO → CADA CUÁNTO REVISAR Y EN CUÁNTO ACTUAR</t>
        </is>
      </c>
    </row>
    <row r="20" ht="30" customHeight="1">
      <c r="A20" s="7" t="inlineStr">
        <is>
          <t>Nivel</t>
        </is>
      </c>
      <c r="B20" s="7" t="inlineStr">
        <is>
          <t>Rango (P × I)</t>
        </is>
      </c>
      <c r="C20" s="7" t="inlineStr">
        <is>
          <t>Frecuencia mínima de verificación</t>
        </is>
      </c>
      <c r="D20" s="7" t="inlineStr">
        <is>
          <t>Reevaluar el riesgo</t>
        </is>
      </c>
      <c r="E20" s="7" t="inlineStr">
        <is>
          <t>Plazo del plan de acción</t>
        </is>
      </c>
    </row>
    <row r="21" ht="26" customHeight="1">
      <c r="A21" s="29" t="inlineStr">
        <is>
          <t>Extremo</t>
        </is>
      </c>
      <c r="B21" s="30" t="inlineStr">
        <is>
          <t>20 - 25</t>
        </is>
      </c>
      <c r="C21" s="5" t="inlineStr">
        <is>
          <t>Diaria o por turno + inspección formal semanal</t>
        </is>
      </c>
      <c r="D21" s="5" t="inlineStr">
        <is>
          <t>Mensual</t>
        </is>
      </c>
      <c r="E21" s="5" t="inlineStr">
        <is>
          <t>≤ 15 días · lo acepta Gerencia</t>
        </is>
      </c>
    </row>
    <row r="22" ht="26" customHeight="1">
      <c r="A22" s="31" t="inlineStr">
        <is>
          <t>Alto</t>
        </is>
      </c>
      <c r="B22" s="30" t="inlineStr">
        <is>
          <t>12 - 16</t>
        </is>
      </c>
      <c r="C22" s="5" t="inlineStr">
        <is>
          <t>Semanal + inspección formal mensual</t>
        </is>
      </c>
      <c r="D22" s="5" t="inlineStr">
        <is>
          <t>Trimestral</t>
        </is>
      </c>
      <c r="E22" s="5" t="inlineStr">
        <is>
          <t>≤ 30 días</t>
        </is>
      </c>
    </row>
    <row r="23" ht="26" customHeight="1">
      <c r="A23" s="32" t="inlineStr">
        <is>
          <t>Medio</t>
        </is>
      </c>
      <c r="B23" s="30" t="inlineStr">
        <is>
          <t>6 - 10</t>
        </is>
      </c>
      <c r="C23" s="5" t="inlineStr">
        <is>
          <t>Mensual (operativo) o trimestral (estructural)</t>
        </is>
      </c>
      <c r="D23" s="5" t="inlineStr">
        <is>
          <t>Semestral</t>
        </is>
      </c>
      <c r="E23" s="5" t="inlineStr">
        <is>
          <t>≤ 90 días</t>
        </is>
      </c>
    </row>
    <row r="24" ht="26" customHeight="1">
      <c r="A24" s="33" t="inlineStr">
        <is>
          <t>Bajo</t>
        </is>
      </c>
      <c r="B24" s="30" t="inlineStr">
        <is>
          <t>3 - 5</t>
        </is>
      </c>
      <c r="C24" s="5" t="inlineStr">
        <is>
          <t>Semestral</t>
        </is>
      </c>
      <c r="D24" s="5" t="inlineStr">
        <is>
          <t>Anual</t>
        </is>
      </c>
      <c r="E24" s="5" t="inlineStr">
        <is>
          <t>Siguiente ciclo presupuestal</t>
        </is>
      </c>
    </row>
    <row r="25" ht="26" customHeight="1">
      <c r="A25" s="34" t="inlineStr">
        <is>
          <t>Muy bajo</t>
        </is>
      </c>
      <c r="B25" s="30" t="inlineStr">
        <is>
          <t>1 - 2</t>
        </is>
      </c>
      <c r="C25" s="5" t="inlineStr">
        <is>
          <t>Anual</t>
        </is>
      </c>
      <c r="D25" s="5" t="inlineStr">
        <is>
          <t>Anual</t>
        </is>
      </c>
      <c r="E25" s="5" t="inlineStr">
        <is>
          <t>Solo monitoreo</t>
        </is>
      </c>
    </row>
    <row r="27" ht="20" customHeight="1">
      <c r="A27" s="3" t="inlineStr">
        <is>
          <t xml:space="preserve">  MATRIZ 5 × 5   (filas = Probabilidad · columnas = Impacto)</t>
        </is>
      </c>
    </row>
    <row r="28">
      <c r="A28" s="7" t="inlineStr">
        <is>
          <t>P \ I</t>
        </is>
      </c>
      <c r="B28" s="7" t="n">
        <v>1</v>
      </c>
      <c r="C28" s="7" t="n">
        <v>2</v>
      </c>
      <c r="D28" s="7" t="n">
        <v>3</v>
      </c>
      <c r="E28" s="7" t="n">
        <v>4</v>
      </c>
      <c r="F28" s="7" t="n">
        <v>5</v>
      </c>
    </row>
    <row r="29" ht="18" customHeight="1">
      <c r="A29" s="7" t="n">
        <v>5</v>
      </c>
      <c r="B29" s="35" t="n">
        <v>5</v>
      </c>
      <c r="C29" s="36" t="n">
        <v>10</v>
      </c>
      <c r="D29" s="37" t="n">
        <v>15</v>
      </c>
      <c r="E29" s="38" t="n">
        <v>20</v>
      </c>
      <c r="F29" s="38" t="n">
        <v>25</v>
      </c>
    </row>
    <row r="30" ht="18" customHeight="1">
      <c r="A30" s="7" t="n">
        <v>4</v>
      </c>
      <c r="B30" s="35" t="n">
        <v>4</v>
      </c>
      <c r="C30" s="36" t="n">
        <v>8</v>
      </c>
      <c r="D30" s="37" t="n">
        <v>12</v>
      </c>
      <c r="E30" s="37" t="n">
        <v>16</v>
      </c>
      <c r="F30" s="38" t="n">
        <v>20</v>
      </c>
    </row>
    <row r="31" ht="18" customHeight="1">
      <c r="A31" s="7" t="n">
        <v>3</v>
      </c>
      <c r="B31" s="35" t="n">
        <v>3</v>
      </c>
      <c r="C31" s="36" t="n">
        <v>6</v>
      </c>
      <c r="D31" s="36" t="n">
        <v>9</v>
      </c>
      <c r="E31" s="37" t="n">
        <v>12</v>
      </c>
      <c r="F31" s="37" t="n">
        <v>15</v>
      </c>
    </row>
    <row r="32" ht="18" customHeight="1">
      <c r="A32" s="7" t="n">
        <v>2</v>
      </c>
      <c r="B32" s="39" t="n">
        <v>2</v>
      </c>
      <c r="C32" s="35" t="n">
        <v>4</v>
      </c>
      <c r="D32" s="36" t="n">
        <v>6</v>
      </c>
      <c r="E32" s="36" t="n">
        <v>8</v>
      </c>
      <c r="F32" s="36" t="n">
        <v>10</v>
      </c>
    </row>
    <row r="33" ht="18" customHeight="1">
      <c r="A33" s="7" t="n">
        <v>1</v>
      </c>
      <c r="B33" s="39" t="n">
        <v>1</v>
      </c>
      <c r="C33" s="39" t="n">
        <v>2</v>
      </c>
      <c r="D33" s="35" t="n">
        <v>3</v>
      </c>
      <c r="E33" s="35" t="n">
        <v>4</v>
      </c>
      <c r="F33" s="35" t="n">
        <v>5</v>
      </c>
    </row>
    <row r="35">
      <c r="A35" s="40" t="inlineStr">
        <is>
          <t>Si el escenario puede causar una fatalidad, califique el impacto en 5 aunque la probabilidad sea baja: ese riesgo se gestiona por severidad, no por frecuencia.</t>
        </is>
      </c>
    </row>
    <row r="36">
      <c r="A36" s="40" t="inlineStr">
        <is>
          <t>Revisión extraordinaria (sin esperar la frecuencia): sismo · incendio o conato · impacto contra estantería · accidente grave · inundación o vendaval · cambio de layout, de altura o de portafolio · pico estacional.</t>
        </is>
      </c>
    </row>
  </sheetData>
  <mergeCells count="6">
    <mergeCell ref="A35:E35"/>
    <mergeCell ref="A19:E19"/>
    <mergeCell ref="A11:E11"/>
    <mergeCell ref="A36:E36"/>
    <mergeCell ref="A27:E27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E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2" customWidth="1" min="4" max="4"/>
    <col width="44" customWidth="1" min="5" max="5"/>
  </cols>
  <sheetData>
    <row r="1">
      <c r="B1" s="1" t="inlineStr">
        <is>
          <t>RESUMEN</t>
        </is>
      </c>
    </row>
    <row r="2">
      <c r="B2" s="2" t="inlineStr">
        <is>
          <t>Se actualiza solo a partir de la hoja '2. Matriz rápida'.</t>
        </is>
      </c>
    </row>
    <row r="4" ht="20" customHeight="1">
      <c r="A4" s="3" t="inlineStr">
        <is>
          <t xml:space="preserve">  PERFIL DE RIESGO</t>
        </is>
      </c>
    </row>
    <row r="5" ht="24" customHeight="1">
      <c r="A5" s="7" t="inlineStr"/>
      <c r="B5" s="7" t="inlineStr">
        <is>
          <t>Nivel</t>
        </is>
      </c>
      <c r="C5" s="7" t="inlineStr">
        <is>
          <t>Cantidad</t>
        </is>
      </c>
      <c r="D5" s="7" t="inlineStr">
        <is>
          <t>%</t>
        </is>
      </c>
      <c r="E5" s="7" t="inlineStr">
        <is>
          <t>Frecuencia mínima que exige</t>
        </is>
      </c>
    </row>
    <row r="6" ht="22" customHeight="1">
      <c r="B6" s="29" t="inlineStr">
        <is>
          <t>Extremo</t>
        </is>
      </c>
      <c r="C6" s="8">
        <f>COUNTIF('2. Matriz rápida'!$H$5:$H$53,"Extremo")</f>
        <v>6</v>
      </c>
      <c r="D6" s="41">
        <f>IFERROR(C6/$C$11,0)</f>
        <v>0.12244897959183673</v>
      </c>
      <c r="E6" s="5" t="inlineStr">
        <is>
          <t>Diaria o por turno + inspección formal semanal</t>
        </is>
      </c>
    </row>
    <row r="7" ht="22" customHeight="1">
      <c r="B7" s="31" t="inlineStr">
        <is>
          <t>Alto</t>
        </is>
      </c>
      <c r="C7" s="8">
        <f>COUNTIF('2. Matriz rápida'!$H$5:$H$53,"Alto")</f>
        <v>36</v>
      </c>
      <c r="D7" s="41">
        <f>IFERROR(C7/$C$11,0)</f>
        <v>0.7346938775510204</v>
      </c>
      <c r="E7" s="5" t="inlineStr">
        <is>
          <t>Semanal + inspección formal mensual</t>
        </is>
      </c>
    </row>
    <row r="8" ht="22" customHeight="1">
      <c r="B8" s="32" t="inlineStr">
        <is>
          <t>Medio</t>
        </is>
      </c>
      <c r="C8" s="8">
        <f>COUNTIF('2. Matriz rápida'!$H$5:$H$53,"Medio")</f>
        <v>7</v>
      </c>
      <c r="D8" s="41">
        <f>IFERROR(C8/$C$11,0)</f>
        <v>0.14285714285714285</v>
      </c>
      <c r="E8" s="5" t="inlineStr">
        <is>
          <t>Mensual (operativo) o trimestral (estructural)</t>
        </is>
      </c>
    </row>
    <row r="9" ht="22" customHeight="1">
      <c r="B9" s="33" t="inlineStr">
        <is>
          <t>Bajo</t>
        </is>
      </c>
      <c r="C9" s="8">
        <f>COUNTIF('2. Matriz rápida'!$H$5:$H$53,"Bajo")</f>
        <v>0</v>
      </c>
      <c r="D9" s="41">
        <f>IFERROR(C9/$C$11,0)</f>
        <v>0.0</v>
      </c>
      <c r="E9" s="5" t="inlineStr">
        <is>
          <t>Semestral</t>
        </is>
      </c>
    </row>
    <row r="10" ht="22" customHeight="1">
      <c r="B10" s="34" t="inlineStr">
        <is>
          <t>Muy bajo</t>
        </is>
      </c>
      <c r="C10" s="8">
        <f>COUNTIF('2. Matriz rápida'!$H$5:$H$53,"Muy bajo")</f>
        <v>0</v>
      </c>
      <c r="D10" s="41">
        <f>IFERROR(C10/$C$11,0)</f>
        <v>0.0</v>
      </c>
      <c r="E10" s="5" t="inlineStr">
        <is>
          <t>Anual</t>
        </is>
      </c>
    </row>
    <row r="11">
      <c r="B11" s="42" t="inlineStr">
        <is>
          <t>Total de riesgos</t>
        </is>
      </c>
      <c r="C11" s="43">
        <f>SUM(C6:C10)</f>
        <v>49</v>
      </c>
      <c r="D11" s="44" t="n"/>
      <c r="E11" s="44" t="n"/>
    </row>
    <row r="13" ht="20" customHeight="1">
      <c r="A13" s="3" t="inlineStr">
        <is>
          <t xml:space="preserve">  CUMPLIMIENTO DE LA VERIFICACIÓN</t>
        </is>
      </c>
    </row>
    <row r="14" ht="24" customHeight="1">
      <c r="A14" s="7" t="inlineStr"/>
      <c r="B14" s="7" t="inlineStr">
        <is>
          <t>Resultado</t>
        </is>
      </c>
      <c r="C14" s="7" t="inlineStr">
        <is>
          <t>Cantidad</t>
        </is>
      </c>
      <c r="D14" s="7" t="inlineStr">
        <is>
          <t>%</t>
        </is>
      </c>
      <c r="E14" s="7" t="inlineStr">
        <is>
          <t>Qué hacer</t>
        </is>
      </c>
    </row>
    <row r="15" ht="20" customHeight="1">
      <c r="B15" s="10" t="inlineStr">
        <is>
          <t>Sí</t>
        </is>
      </c>
      <c r="C15" s="8">
        <f>COUNTIF('2. Matriz rápida'!$J$5:$J$53,"Sí")</f>
        <v>0</v>
      </c>
      <c r="D15" s="41">
        <f>IFERROR(C15/49,0)</f>
        <v>0.0</v>
      </c>
      <c r="E15" s="5" t="inlineStr">
        <is>
          <t>Mantener el control y su evidencia</t>
        </is>
      </c>
    </row>
    <row r="16" ht="20" customHeight="1">
      <c r="B16" s="10" t="inlineStr">
        <is>
          <t>Parcial</t>
        </is>
      </c>
      <c r="C16" s="8">
        <f>COUNTIF('2. Matriz rápida'!$J$5:$J$53,"Parcial")</f>
        <v>0</v>
      </c>
      <c r="D16" s="41">
        <f>IFERROR(C16/49,0)</f>
        <v>0.0</v>
      </c>
      <c r="E16" s="5" t="inlineStr">
        <is>
          <t>Cerrar la brecha dentro del plazo del nivel de riesgo</t>
        </is>
      </c>
    </row>
    <row r="17" ht="20" customHeight="1">
      <c r="B17" s="10" t="inlineStr">
        <is>
          <t>No</t>
        </is>
      </c>
      <c r="C17" s="8">
        <f>COUNTIF('2. Matriz rápida'!$J$5:$J$53,"No")</f>
        <v>0</v>
      </c>
      <c r="D17" s="41">
        <f>IFERROR(C17/49,0)</f>
        <v>0.0</v>
      </c>
      <c r="E17" s="5" t="inlineStr">
        <is>
          <t>Pasa a plan de acción con responsable y fecha</t>
        </is>
      </c>
    </row>
    <row r="18" ht="20" customHeight="1">
      <c r="B18" s="10" t="inlineStr">
        <is>
          <t>N.A.</t>
        </is>
      </c>
      <c r="C18" s="8">
        <f>COUNTIF('2. Matriz rápida'!$J$5:$J$53,"N.A.")</f>
        <v>0</v>
      </c>
      <c r="D18" s="41">
        <f>IFERROR(C18/49,0)</f>
        <v>0.0</v>
      </c>
      <c r="E18" s="5" t="inlineStr">
        <is>
          <t>Dejar registrado por qué no aplica</t>
        </is>
      </c>
    </row>
    <row r="19" ht="20" customHeight="1">
      <c r="B19" s="10" t="inlineStr">
        <is>
          <t>Sin marcar</t>
        </is>
      </c>
      <c r="C19" s="8">
        <f>49-COUNTA('2. Matriz rápida'!$J$5:$J$53)</f>
        <v>49</v>
      </c>
      <c r="D19" s="41">
        <f>IFERROR(C19/49,0)</f>
        <v>1.0</v>
      </c>
      <c r="E19" s="5" t="inlineStr">
        <is>
          <t>Pendiente de verificar en campo</t>
        </is>
      </c>
    </row>
    <row r="20">
      <c r="B20" s="42" t="inlineStr">
        <is>
          <t>Índice de cumplimiento</t>
        </is>
      </c>
      <c r="C20" s="45">
        <f>IFERROR(C15/(C15+C16+C17),0)</f>
        <v>0</v>
      </c>
      <c r="D20" s="44" t="n"/>
      <c r="E20" s="46" t="inlineStr">
        <is>
          <t>Sí ÷ (Sí + Parcial + No)</t>
        </is>
      </c>
    </row>
    <row r="21" ht="26" customHeight="1">
      <c r="B21" s="42" t="inlineStr">
        <is>
          <t>Incumplimientos en riesgo Extremo o Alto</t>
        </is>
      </c>
      <c r="C21" s="47">
        <f>COUNTIFS('2. Matriz rápida'!$H$5:$H$53,"Extremo",'2. Matriz rápida'!$J$5:$J$53,"No")+COUNTIFS('2. Matriz rápida'!$H$5:$H$53,"Alto",'2. Matriz rápida'!$J$5:$J$53,"No")</f>
        <v>0</v>
      </c>
      <c r="D21" s="44" t="n"/>
      <c r="E21" s="48" t="inlineStr">
        <is>
          <t>Son los que se atienden primero: ≤ 15 días (Extremo) y ≤ 30 días (Alto)</t>
        </is>
      </c>
    </row>
    <row r="23" ht="20" customHeight="1">
      <c r="A23" s="3" t="inlineStr">
        <is>
          <t xml:space="preserve">  POR CATEGORÍA</t>
        </is>
      </c>
    </row>
    <row r="24" ht="22" customHeight="1">
      <c r="A24" s="7" t="inlineStr"/>
      <c r="B24" s="7" t="inlineStr">
        <is>
          <t>Categoría</t>
        </is>
      </c>
      <c r="C24" s="7" t="inlineStr">
        <is>
          <t>Extremo</t>
        </is>
      </c>
      <c r="D24" s="7" t="inlineStr">
        <is>
          <t>Alto</t>
        </is>
      </c>
      <c r="E24" s="7" t="inlineStr">
        <is>
          <t>Total</t>
        </is>
      </c>
    </row>
    <row r="25" ht="20" customHeight="1">
      <c r="B25" s="5" t="inlineStr">
        <is>
          <t>A. Edificio y piso</t>
        </is>
      </c>
      <c r="C25" s="8">
        <f>COUNTIFS('2. Matriz rápida'!$B$5:$B$53,$B25,'2. Matriz rápida'!$H$5:$H$53,"Extremo")</f>
        <v>0</v>
      </c>
      <c r="D25" s="8">
        <f>COUNTIFS('2. Matriz rápida'!$B$5:$B$53,$B25,'2. Matriz rápida'!$H$5:$H$53,"Alto")</f>
        <v>5</v>
      </c>
      <c r="E25" s="8">
        <f>COUNTIF('2. Matriz rápida'!$B$5:$B$53,$B25)</f>
        <v>5</v>
      </c>
    </row>
    <row r="26" ht="20" customHeight="1">
      <c r="B26" s="5" t="inlineStr">
        <is>
          <t>B. Estantería</t>
        </is>
      </c>
      <c r="C26" s="8">
        <f>COUNTIFS('2. Matriz rápida'!$B$5:$B$53,$B26,'2. Matriz rápida'!$H$5:$H$53,"Extremo")</f>
        <v>2</v>
      </c>
      <c r="D26" s="8">
        <f>COUNTIFS('2. Matriz rápida'!$B$5:$B$53,$B26,'2. Matriz rápida'!$H$5:$H$53,"Alto")</f>
        <v>3</v>
      </c>
      <c r="E26" s="8">
        <f>COUNTIF('2. Matriz rápida'!$B$5:$B$53,$B26)</f>
        <v>5</v>
      </c>
    </row>
    <row r="27" ht="20" customHeight="1">
      <c r="B27" s="5" t="inlineStr">
        <is>
          <t>C. Volumen y ocupación</t>
        </is>
      </c>
      <c r="C27" s="8">
        <f>COUNTIFS('2. Matriz rápida'!$B$5:$B$53,$B27,'2. Matriz rápida'!$H$5:$H$53,"Extremo")</f>
        <v>2</v>
      </c>
      <c r="D27" s="8">
        <f>COUNTIFS('2. Matriz rápida'!$B$5:$B$53,$B27,'2. Matriz rápida'!$H$5:$H$53,"Alto")</f>
        <v>1</v>
      </c>
      <c r="E27" s="8">
        <f>COUNTIF('2. Matriz rápida'!$B$5:$B$53,$B27)</f>
        <v>3</v>
      </c>
    </row>
    <row r="28" ht="20" customHeight="1">
      <c r="B28" s="5" t="inlineStr">
        <is>
          <t>D. Muelles y patio</t>
        </is>
      </c>
      <c r="C28" s="8">
        <f>COUNTIFS('2. Matriz rápida'!$B$5:$B$53,$B28,'2. Matriz rápida'!$H$5:$H$53,"Extremo")</f>
        <v>0</v>
      </c>
      <c r="D28" s="8">
        <f>COUNTIFS('2. Matriz rápida'!$B$5:$B$53,$B28,'2. Matriz rápida'!$H$5:$H$53,"Alto")</f>
        <v>3</v>
      </c>
      <c r="E28" s="8">
        <f>COUNTIF('2. Matriz rápida'!$B$5:$B$53,$B28)</f>
        <v>3</v>
      </c>
    </row>
    <row r="29" ht="20" customHeight="1">
      <c r="B29" s="5" t="inlineStr">
        <is>
          <t>E. Equipos (MHE)</t>
        </is>
      </c>
      <c r="C29" s="8">
        <f>COUNTIFS('2. Matriz rápida'!$B$5:$B$53,$B29,'2. Matriz rápida'!$H$5:$H$53,"Extremo")</f>
        <v>1</v>
      </c>
      <c r="D29" s="8">
        <f>COUNTIFS('2. Matriz rápida'!$B$5:$B$53,$B29,'2. Matriz rápida'!$H$5:$H$53,"Alto")</f>
        <v>3</v>
      </c>
      <c r="E29" s="8">
        <f>COUNTIF('2. Matriz rápida'!$B$5:$B$53,$B29)</f>
        <v>4</v>
      </c>
    </row>
    <row r="30" ht="20" customHeight="1">
      <c r="B30" s="5" t="inlineStr">
        <is>
          <t>F. Incendio</t>
        </is>
      </c>
      <c r="C30" s="8">
        <f>COUNTIFS('2. Matriz rápida'!$B$5:$B$53,$B30,'2. Matriz rápida'!$H$5:$H$53,"Extremo")</f>
        <v>1</v>
      </c>
      <c r="D30" s="8">
        <f>COUNTIFS('2. Matriz rápida'!$B$5:$B$53,$B30,'2. Matriz rápida'!$H$5:$H$53,"Alto")</f>
        <v>3</v>
      </c>
      <c r="E30" s="8">
        <f>COUNTIF('2. Matriz rápida'!$B$5:$B$53,$B30)</f>
        <v>5</v>
      </c>
    </row>
    <row r="31" ht="20" customHeight="1">
      <c r="B31" s="5" t="inlineStr">
        <is>
          <t>G. Riesgos naturales</t>
        </is>
      </c>
      <c r="C31" s="8">
        <f>COUNTIFS('2. Matriz rápida'!$B$5:$B$53,$B31,'2. Matriz rápida'!$H$5:$H$53,"Extremo")</f>
        <v>0</v>
      </c>
      <c r="D31" s="8">
        <f>COUNTIFS('2. Matriz rápida'!$B$5:$B$53,$B31,'2. Matriz rápida'!$H$5:$H$53,"Alto")</f>
        <v>1</v>
      </c>
      <c r="E31" s="8">
        <f>COUNTIF('2. Matriz rápida'!$B$5:$B$53,$B31)</f>
        <v>3</v>
      </c>
    </row>
    <row r="32" ht="20" customHeight="1">
      <c r="B32" s="5" t="inlineStr">
        <is>
          <t>H. Eléctrico y servicios</t>
        </is>
      </c>
      <c r="C32" s="8">
        <f>COUNTIFS('2. Matriz rápida'!$B$5:$B$53,$B32,'2. Matriz rápida'!$H$5:$H$53,"Extremo")</f>
        <v>0</v>
      </c>
      <c r="D32" s="8">
        <f>COUNTIFS('2. Matriz rápida'!$B$5:$B$53,$B32,'2. Matriz rápida'!$H$5:$H$53,"Alto")</f>
        <v>2</v>
      </c>
      <c r="E32" s="8">
        <f>COUNTIF('2. Matriz rápida'!$B$5:$B$53,$B32)</f>
        <v>2</v>
      </c>
    </row>
    <row r="33" ht="20" customHeight="1">
      <c r="B33" s="5" t="inlineStr">
        <is>
          <t>I. Seguridad física</t>
        </is>
      </c>
      <c r="C33" s="8">
        <f>COUNTIFS('2. Matriz rápida'!$B$5:$B$53,$B33,'2. Matriz rápida'!$H$5:$H$53,"Extremo")</f>
        <v>0</v>
      </c>
      <c r="D33" s="8">
        <f>COUNTIFS('2. Matriz rápida'!$B$5:$B$53,$B33,'2. Matriz rápida'!$H$5:$H$53,"Alto")</f>
        <v>2</v>
      </c>
      <c r="E33" s="8">
        <f>COUNTIF('2. Matriz rápida'!$B$5:$B$53,$B33)</f>
        <v>3</v>
      </c>
    </row>
    <row r="34" ht="20" customHeight="1">
      <c r="B34" s="5" t="inlineStr">
        <is>
          <t>J. Tecnología</t>
        </is>
      </c>
      <c r="C34" s="8">
        <f>COUNTIFS('2. Matriz rápida'!$B$5:$B$53,$B34,'2. Matriz rápida'!$H$5:$H$53,"Extremo")</f>
        <v>0</v>
      </c>
      <c r="D34" s="8">
        <f>COUNTIFS('2. Matriz rápida'!$B$5:$B$53,$B34,'2. Matriz rápida'!$H$5:$H$53,"Alto")</f>
        <v>2</v>
      </c>
      <c r="E34" s="8">
        <f>COUNTIF('2. Matriz rápida'!$B$5:$B$53,$B34)</f>
        <v>2</v>
      </c>
    </row>
    <row r="35" ht="20" customHeight="1">
      <c r="B35" s="5" t="inlineStr">
        <is>
          <t>K. Personas (SST)</t>
        </is>
      </c>
      <c r="C35" s="8">
        <f>COUNTIFS('2. Matriz rápida'!$B$5:$B$53,$B35,'2. Matriz rápida'!$H$5:$H$53,"Extremo")</f>
        <v>0</v>
      </c>
      <c r="D35" s="8">
        <f>COUNTIFS('2. Matriz rápida'!$B$5:$B$53,$B35,'2. Matriz rápida'!$H$5:$H$53,"Alto")</f>
        <v>3</v>
      </c>
      <c r="E35" s="8">
        <f>COUNTIF('2. Matriz rápida'!$B$5:$B$53,$B35)</f>
        <v>4</v>
      </c>
    </row>
    <row r="36" ht="20" customHeight="1">
      <c r="B36" s="5" t="inlineStr">
        <is>
          <t>L. Producto y calidad</t>
        </is>
      </c>
      <c r="C36" s="8">
        <f>COUNTIFS('2. Matriz rápida'!$B$5:$B$53,$B36,'2. Matriz rápida'!$H$5:$H$53,"Extremo")</f>
        <v>0</v>
      </c>
      <c r="D36" s="8">
        <f>COUNTIFS('2. Matriz rápida'!$B$5:$B$53,$B36,'2. Matriz rápida'!$H$5:$H$53,"Alto")</f>
        <v>4</v>
      </c>
      <c r="E36" s="8">
        <f>COUNTIF('2. Matriz rápida'!$B$5:$B$53,$B36)</f>
        <v>4</v>
      </c>
    </row>
    <row r="37" ht="20" customHeight="1">
      <c r="B37" s="5" t="inlineStr">
        <is>
          <t>M. Operación</t>
        </is>
      </c>
      <c r="C37" s="8">
        <f>COUNTIFS('2. Matriz rápida'!$B$5:$B$53,$B37,'2. Matriz rápida'!$H$5:$H$53,"Extremo")</f>
        <v>0</v>
      </c>
      <c r="D37" s="8">
        <f>COUNTIFS('2. Matriz rápida'!$B$5:$B$53,$B37,'2. Matriz rápida'!$H$5:$H$53,"Alto")</f>
        <v>1</v>
      </c>
      <c r="E37" s="8">
        <f>COUNTIF('2. Matriz rápida'!$B$5:$B$53,$B37)</f>
        <v>1</v>
      </c>
    </row>
    <row r="38" ht="20" customHeight="1">
      <c r="B38" s="5" t="inlineStr">
        <is>
          <t>N. Terceros</t>
        </is>
      </c>
      <c r="C38" s="8">
        <f>COUNTIFS('2. Matriz rápida'!$B$5:$B$53,$B38,'2. Matriz rápida'!$H$5:$H$53,"Extremo")</f>
        <v>0</v>
      </c>
      <c r="D38" s="8">
        <f>COUNTIFS('2. Matriz rápida'!$B$5:$B$53,$B38,'2. Matriz rápida'!$H$5:$H$53,"Alto")</f>
        <v>2</v>
      </c>
      <c r="E38" s="8">
        <f>COUNTIF('2. Matriz rápida'!$B$5:$B$53,$B38)</f>
        <v>2</v>
      </c>
    </row>
    <row r="39" ht="20" customHeight="1">
      <c r="B39" s="5" t="inlineStr">
        <is>
          <t>O. Legal y continuidad</t>
        </is>
      </c>
      <c r="C39" s="8">
        <f>COUNTIFS('2. Matriz rápida'!$B$5:$B$53,$B39,'2. Matriz rápida'!$H$5:$H$53,"Extremo")</f>
        <v>0</v>
      </c>
      <c r="D39" s="8">
        <f>COUNTIFS('2. Matriz rápida'!$B$5:$B$53,$B39,'2. Matriz rápida'!$H$5:$H$53,"Alto")</f>
        <v>1</v>
      </c>
      <c r="E39" s="8">
        <f>COUNTIF('2. Matriz rápida'!$B$5:$B$53,$B39)</f>
        <v>3</v>
      </c>
    </row>
  </sheetData>
  <mergeCells count="3">
    <mergeCell ref="A4:E4"/>
    <mergeCell ref="A13:E13"/>
    <mergeCell ref="A23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2026-08-21T20:21:47Z</dcterms:created>
  <dcterms:modified xsi:type="dcterms:W3CDTF">2026-08-21T20:21:47Z</dcterms:modified>
</cp:coreProperties>
</file>