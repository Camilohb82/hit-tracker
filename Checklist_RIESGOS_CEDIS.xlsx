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29" firstSheet="0" activeTab="1" autoFilterDateGrouping="1"/>
  </bookViews>
  <sheets>
    <sheet name="1. Ficha" sheetId="1" state="visible" r:id="rId1"/>
    <sheet name="2. Matriz " sheetId="2" state="visible" r:id="rId2"/>
    <sheet name="3. Resumen" sheetId="3" state="visible" r:id="rId3"/>
    <sheet name="4. Escalas" sheetId="4" state="visible" r:id="rId4"/>
    <sheet name="5. Plan de acción" sheetId="5" state="visible" r:id="rId5"/>
    <sheet name="6. Referencias" sheetId="6" state="visible" r:id="rId6"/>
  </sheets>
  <definedNames>
    <definedName name="_xlnm._FilterDatabase" localSheetId="1" hidden="1">'2. Matriz '!$A$1:$N$63</definedName>
    <definedName name="_xlnm.Print_Titles" localSheetId="1">'2. Matriz 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FF1F3864"/>
      <sz val="17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0"/>
    </font>
    <font>
      <name val="Calibri"/>
      <b val="1"/>
      <color rgb="FF9C0006"/>
      <sz val="10"/>
    </font>
    <font>
      <name val="Calibri"/>
      <b val="1"/>
      <color rgb="FF974706"/>
      <sz val="10"/>
    </font>
    <font>
      <name val="Calibri"/>
      <b val="1"/>
      <color rgb="FF9C6500"/>
      <sz val="10"/>
    </font>
    <font>
      <name val="Calibri"/>
      <b val="1"/>
      <color rgb="FF006100"/>
      <sz val="10"/>
    </font>
    <font>
      <name val="Calibri"/>
      <b val="1"/>
      <color rgb="FF3F3F3F"/>
      <sz val="10"/>
    </font>
    <font>
      <name val="Calibri"/>
      <b val="1"/>
      <color rgb="FF006100"/>
      <sz val="11"/>
    </font>
    <font>
      <name val="Calibri"/>
      <b val="1"/>
      <color rgb="FF9C6500"/>
      <sz val="11"/>
    </font>
    <font>
      <name val="Calibri"/>
      <b val="1"/>
      <color rgb="FF974706"/>
      <sz val="11"/>
    </font>
    <font>
      <name val="Calibri"/>
      <b val="1"/>
      <color rgb="FF9C0006"/>
      <sz val="11"/>
    </font>
    <font>
      <name val="Calibri"/>
      <b val="1"/>
      <color rgb="FF3F3F3F"/>
      <sz val="11"/>
    </font>
    <font>
      <name val="Calibri"/>
      <color rgb="FF595959"/>
      <sz val="9"/>
    </font>
    <font>
      <name val="Calibri"/>
      <b val="1"/>
      <color rgb="FF1F3864"/>
      <sz val="12"/>
    </font>
    <font>
      <name val="Calibri"/>
      <b val="1"/>
      <color rgb="FF9C0006"/>
      <sz val="12"/>
    </font>
    <font>
      <name val="Calibri"/>
      <family val="2"/>
      <color rgb="FFFF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sz val="9"/>
    </font>
    <font>
      <name val="Calibri"/>
      <family val="2"/>
      <sz val="11"/>
      <scheme val="minor"/>
    </font>
  </fonts>
  <fills count="2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CD5B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D9E1F2"/>
      </patternFill>
    </fill>
    <fill>
      <patternFill patternType="solid">
        <fgColor rgb="FFFBE5D6"/>
      </patternFill>
    </fill>
    <fill>
      <patternFill patternType="solid">
        <fgColor rgb="FFE2F0D9"/>
      </patternFill>
    </fill>
    <fill>
      <patternFill patternType="solid">
        <fgColor rgb="FFFFF7DC"/>
      </patternFill>
    </fill>
    <fill>
      <patternFill patternType="solid">
        <fgColor rgb="FFF2F2F2"/>
      </patternFill>
    </fill>
    <fill>
      <patternFill patternType="solid">
        <fgColor rgb="FFEAE1F2"/>
      </patternFill>
    </fill>
    <fill>
      <patternFill patternType="solid">
        <fgColor rgb="FFDEEAF6"/>
      </patternFill>
    </fill>
    <fill>
      <patternFill patternType="solid">
        <fgColor rgb="FFFDE9D9"/>
      </patternFill>
    </fill>
    <fill>
      <patternFill patternType="solid">
        <fgColor rgb="FFE9F2E1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164" fontId="5" fillId="4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  <xf numFmtId="0" fontId="5" fillId="21" borderId="1" applyAlignment="1" pivotButton="0" quotePrefix="0" xfId="0">
      <alignment horizontal="left" vertical="top" wrapText="1"/>
    </xf>
    <xf numFmtId="0" fontId="5" fillId="22" borderId="1" applyAlignment="1" pivotButton="0" quotePrefix="0" xfId="0">
      <alignment horizontal="left" vertical="top" wrapText="1"/>
    </xf>
    <xf numFmtId="0" fontId="5" fillId="2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24" borderId="1" pivotButton="0" quotePrefix="0" xfId="0"/>
    <xf numFmtId="0" fontId="4" fillId="24" borderId="1" applyAlignment="1" pivotButton="0" quotePrefix="0" xfId="0">
      <alignment horizontal="center" vertical="center" wrapText="1"/>
    </xf>
    <xf numFmtId="0" fontId="0" fillId="24" borderId="1" pivotButton="0" quotePrefix="0" xfId="0"/>
    <xf numFmtId="165" fontId="18" fillId="24" borderId="1" applyAlignment="1" pivotButton="0" quotePrefix="0" xfId="0">
      <alignment horizontal="center" vertical="center" wrapText="1"/>
    </xf>
    <xf numFmtId="0" fontId="19" fillId="24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top" wrapText="1"/>
    </xf>
    <xf numFmtId="0" fontId="22" fillId="3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5" fillId="0" borderId="0" pivotButton="0" quotePrefix="0" xfId="0"/>
    <xf numFmtId="0" fontId="23" fillId="1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left" vertical="top" wrapText="1"/>
    </xf>
    <xf numFmtId="0" fontId="17" fillId="24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17" fillId="24" borderId="1" applyAlignment="1" pivotButton="0" quotePrefix="0" xfId="0">
      <alignment horizontal="left" vertical="top" wrapText="1"/>
    </xf>
    <xf numFmtId="0" fontId="21" fillId="2" borderId="0" applyAlignment="1" pivotButton="0" quotePrefix="0" xfId="0">
      <alignment horizontal="left" vertical="center"/>
    </xf>
    <xf numFmtId="0" fontId="17" fillId="0" borderId="0" pivotButton="0" quotePrefix="0" xfId="0"/>
    <xf numFmtId="0" fontId="23" fillId="4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3">
    <dxf>
      <font>
        <b val="1"/>
        <color rgb="FF1F3864"/>
      </font>
      <fill>
        <patternFill>
          <bgColor rgb="FFDDEBF7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3F3F3F"/>
      </font>
      <fill>
        <patternFill>
          <bgColor rgb="FFE7E6E6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74706"/>
      </font>
      <fill>
        <patternFill>
          <bgColor rgb="FFFCD5B4"/>
        </patternFill>
      </fill>
    </dxf>
    <dxf>
      <font>
        <b val="1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D21"/>
  <sheetViews>
    <sheetView showGridLines="0" zoomScale="85" zoomScaleNormal="85" workbookViewId="0">
      <pane ySplit="1" topLeftCell="A2" activePane="bottomLeft" state="frozen"/>
      <selection pane="bottomLeft" activeCell="A1" sqref="A1:D1"/>
    </sheetView>
  </sheetViews>
  <sheetFormatPr baseColWidth="10" defaultColWidth="8.7265625" defaultRowHeight="14.5"/>
  <cols>
    <col width="3" customWidth="1" style="57" min="1" max="1"/>
    <col width="46" customWidth="1" style="57" min="2" max="2"/>
    <col width="28" customWidth="1" style="57" min="3" max="3"/>
    <col width="62" customWidth="1" style="57" min="4" max="4"/>
  </cols>
  <sheetData>
    <row r="1" ht="20" customHeight="1" s="57">
      <c r="A1" s="59" t="inlineStr">
        <is>
          <t xml:space="preserve">  FICHA DEL CENTRO DE DISTRIBUCIÓN </t>
        </is>
      </c>
    </row>
    <row r="2" ht="24" customHeight="1" s="57">
      <c r="A2" s="51" t="n"/>
      <c r="B2" s="51" t="inlineStr">
        <is>
          <t>Variable</t>
        </is>
      </c>
      <c r="C2" s="51" t="inlineStr">
        <is>
          <t>Valor</t>
        </is>
      </c>
      <c r="D2" s="45" t="inlineStr">
        <is>
          <t>Importancia</t>
        </is>
      </c>
    </row>
    <row r="3" ht="26" customHeight="1" s="57">
      <c r="A3" s="6" t="n">
        <v>1</v>
      </c>
      <c r="B3" s="54" t="inlineStr">
        <is>
          <t>Nombre / ciudad del CEDI y año de construcción</t>
        </is>
      </c>
      <c r="C3" s="7" t="n"/>
      <c r="D3" s="54" t="n"/>
    </row>
    <row r="4" ht="26" customHeight="1" s="57">
      <c r="A4" s="6" t="n">
        <v>2</v>
      </c>
      <c r="B4" s="54" t="inlineStr">
        <is>
          <t>Tenencia: propio / arrendado / operado por un operador logístico</t>
        </is>
      </c>
      <c r="C4" s="7" t="n"/>
      <c r="D4" s="54" t="n"/>
    </row>
    <row r="5" ht="26" customHeight="1" s="57">
      <c r="A5" s="6" t="n">
        <v>3</v>
      </c>
      <c r="B5" s="54" t="inlineStr">
        <is>
          <t>Turnos y días de operación</t>
        </is>
      </c>
      <c r="C5" s="7" t="n"/>
      <c r="D5" s="54" t="n"/>
    </row>
    <row r="6" ht="26" customHeight="1" s="57">
      <c r="A6" s="6" t="n">
        <v>4</v>
      </c>
      <c r="B6" s="54" t="inlineStr">
        <is>
          <t>Personas: directas / temporales / contratistas</t>
        </is>
      </c>
      <c r="C6" s="7" t="n"/>
      <c r="D6" s="54" t="n"/>
    </row>
    <row r="7" ht="26" customHeight="1" s="57">
      <c r="A7" s="6" t="n">
        <v>5</v>
      </c>
      <c r="B7" s="54" t="inlineStr">
        <is>
          <t>Área cubierta, número de sectores y altura máxima de almacenamiento</t>
        </is>
      </c>
      <c r="C7" s="7" t="n"/>
      <c r="D7" s="54" t="inlineStr">
        <is>
          <t>Pérdida máxima probable; sobre 7,6 m cambian los criterios de incendio</t>
        </is>
      </c>
    </row>
    <row r="8" ht="26" customHeight="1" s="57">
      <c r="A8" s="6" t="n">
        <v>6</v>
      </c>
      <c r="B8" s="54" t="inlineStr">
        <is>
          <t>Capacidad portante y planitud del piso (con fecha de medición)</t>
        </is>
      </c>
      <c r="C8" s="7" t="n"/>
      <c r="D8" s="54" t="inlineStr">
        <is>
          <t>Restringe la carga de montantes y define si el piso admite la altura de elevación</t>
        </is>
      </c>
    </row>
    <row r="9" ht="26" customHeight="1" s="57">
      <c r="A9" s="6" t="n">
        <v>7</v>
      </c>
      <c r="B9" s="54" t="inlineStr">
        <is>
          <t>Posiciones de estiba y % de ocupación promedio y pico</t>
        </is>
      </c>
      <c r="C9" s="7" t="n"/>
      <c r="D9" s="46" t="inlineStr">
        <is>
          <t>Sobre el 85-90% aparecen bloqueos, almacenamiento improvisado y accidentes</t>
        </is>
      </c>
    </row>
    <row r="10" ht="26" customHeight="1" s="57">
      <c r="A10" s="6" t="n">
        <v>8</v>
      </c>
      <c r="B10" s="54" t="inlineStr">
        <is>
          <t>Unidades o pallets movidos por día y estacionalidad</t>
        </is>
      </c>
      <c r="C10" s="7" t="n"/>
      <c r="D10" s="54" t="n"/>
    </row>
    <row r="11" ht="26" customHeight="1" s="57">
      <c r="A11" s="6" t="n">
        <v>9</v>
      </c>
      <c r="B11" s="54" t="inlineStr">
        <is>
          <t>Familias de producto y clasificación para incendio (plásticos, aerosoles, litio)</t>
        </is>
      </c>
      <c r="C11" s="7" t="n"/>
      <c r="D11" s="54" t="inlineStr">
        <is>
          <t>Determina si el sistema de rociadores instalado sigue siendo válido</t>
        </is>
      </c>
    </row>
    <row r="12" ht="26" customHeight="1" s="57">
      <c r="A12" s="6" t="n">
        <v>10</v>
      </c>
      <c r="B12" s="54" t="inlineStr">
        <is>
          <t>¿Cadena de frío? ¿Mercancías peligrosas? ¿Alto valor? ¿Producto regulado?</t>
        </is>
      </c>
      <c r="C12" s="7" t="n"/>
      <c r="D12" s="54" t="inlineStr">
        <is>
          <t>Cada una activa riesgos sanitarios, de segregación o de hurto</t>
        </is>
      </c>
    </row>
    <row r="13" ht="26" customHeight="1" s="57">
      <c r="A13" s="6" t="n">
        <v>11</v>
      </c>
      <c r="B13" s="54" t="inlineStr">
        <is>
          <t>Tipo de estantería, altura y ancho de pasillo</t>
        </is>
      </c>
      <c r="C13" s="7" t="n"/>
      <c r="D13" s="54" t="n"/>
    </row>
    <row r="14" ht="50" customHeight="1" s="57">
      <c r="A14" s="6" t="n">
        <v>12</v>
      </c>
      <c r="B14" s="46" t="inlineStr">
        <is>
          <t>¿Hay una persona designada como responsable de la seguridad de la estantería? Fecha de la última inspección experta y daños rojo / ámbar</t>
        </is>
      </c>
      <c r="C14" s="7" t="n"/>
      <c r="D14" s="54" t="n"/>
    </row>
    <row r="15" ht="26" customHeight="1" s="57">
      <c r="A15" s="6" t="n">
        <v>13</v>
      </c>
      <c r="B15" s="54" t="inlineStr">
        <is>
          <t>Equipos: cantidad, tipo, energía y operadores certificados</t>
        </is>
      </c>
      <c r="C15" s="7" t="n"/>
      <c r="D15" s="54" t="n"/>
    </row>
    <row r="16" ht="26" customHeight="1" s="57">
      <c r="A16" s="6" t="n">
        <v>14</v>
      </c>
      <c r="B16" s="54" t="inlineStr">
        <is>
          <t>Muelles: número, tipo y ¿anclaje del vehículo al muelle (dock lock) o calzos?</t>
        </is>
      </c>
      <c r="C16" s="7" t="n"/>
      <c r="D16" s="54" t="n"/>
    </row>
    <row r="17" ht="26" customHeight="1" s="57">
      <c r="A17" s="6" t="n">
        <v>15</v>
      </c>
      <c r="B17" s="54" t="inlineStr">
        <is>
          <t>Protección contra incendio: tipo de rociadores, año y última certificación</t>
        </is>
      </c>
      <c r="C17" s="7" t="n"/>
      <c r="D17" s="54" t="n"/>
    </row>
    <row r="18" ht="26" customHeight="1" s="57">
      <c r="A18" s="6" t="n">
        <v>16</v>
      </c>
      <c r="B18" s="54" t="inlineStr">
        <is>
          <t>Respaldo de energía y última termografía de tableros</t>
        </is>
      </c>
      <c r="C18" s="7" t="n"/>
      <c r="D18" s="54" t="n"/>
    </row>
    <row r="19" ht="26" customHeight="1" s="57">
      <c r="A19" s="6" t="n">
        <v>17</v>
      </c>
      <c r="B19" s="54" t="inlineStr">
        <is>
          <t>Amenaza sísmica, ¿zona inundable? y ¿la estantería tiene diseño sísmico?</t>
        </is>
      </c>
      <c r="C19" s="7" t="n"/>
      <c r="D19" s="54" t="n"/>
    </row>
    <row r="20" ht="26" customHeight="1" s="57">
      <c r="A20" s="6" t="n">
        <v>18</v>
      </c>
      <c r="B20" s="54" t="inlineStr">
        <is>
          <t>Valor del inventario pico vs. valor asegurado y recomendaciones abiertas</t>
        </is>
      </c>
      <c r="C20" s="7" t="n"/>
      <c r="D20" s="54" t="n"/>
    </row>
    <row r="21" ht="26" customHeight="1" s="57">
      <c r="A21" s="6" t="n">
        <v>19</v>
      </c>
      <c r="B21" s="54" t="inlineStr">
        <is>
          <t>Eventos de los últimos 5 años (incendio, colapso, accidente, hurto, inundación)</t>
        </is>
      </c>
      <c r="C21" s="7" t="n"/>
      <c r="D21" s="54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N63"/>
  <sheetViews>
    <sheetView showGridLines="0" tabSelected="1" zoomScale="80" zoomScaleNormal="80" workbookViewId="0">
      <pane xSplit="2" ySplit="1" topLeftCell="C9" activePane="bottomRight" state="frozen"/>
      <selection pane="topRight" activeCell="A1" sqref="A1"/>
      <selection pane="bottomLeft" activeCell="A1" sqref="A1"/>
      <selection pane="bottomRight" activeCell="E11" sqref="E11"/>
    </sheetView>
  </sheetViews>
  <sheetFormatPr baseColWidth="10" defaultColWidth="8.7265625" defaultRowHeight="14.5"/>
  <cols>
    <col width="7" customWidth="1" style="57" min="1" max="1"/>
    <col width="19" customWidth="1" style="57" min="2" max="2"/>
    <col width="62" customWidth="1" style="57" min="3" max="3"/>
    <col width="30" customWidth="1" style="48" min="4" max="4"/>
    <col width="6.453125" customWidth="1" style="57" min="5" max="6"/>
    <col width="13" customWidth="1" style="57" min="6" max="6"/>
    <col width="6" customWidth="1" style="57" min="7" max="7"/>
    <col width="11" customWidth="1" style="57" min="8" max="8"/>
    <col width="26" customWidth="1" style="57" min="9" max="9"/>
    <col width="32" customWidth="1" style="57" min="10" max="10"/>
    <col width="10" customWidth="1" style="57" min="11" max="11"/>
    <col width="30" customWidth="1" style="57" min="12" max="12"/>
    <col width="16" customWidth="1" style="57" min="13" max="13"/>
    <col width="12" customWidth="1" style="57" min="14" max="14"/>
  </cols>
  <sheetData>
    <row r="1" ht="46" customHeight="1" s="57">
      <c r="A1" s="51" t="inlineStr">
        <is>
          <t>ID</t>
        </is>
      </c>
      <c r="B1" s="51" t="inlineStr">
        <is>
          <t>Categoría</t>
        </is>
      </c>
      <c r="C1" s="51" t="inlineStr">
        <is>
          <t>RIESGO Y QUÉ VERIFICAR</t>
        </is>
      </c>
      <c r="D1" s="51" t="inlineStr">
        <is>
          <t>Evidencia o registro que debe existir</t>
        </is>
      </c>
      <c r="E1" s="51" t="inlineStr">
        <is>
          <t>P</t>
        </is>
      </c>
      <c r="F1" s="51" t="inlineStr">
        <is>
          <t>I</t>
        </is>
      </c>
      <c r="G1" s="51" t="inlineStr">
        <is>
          <t>P×I</t>
        </is>
      </c>
      <c r="H1" s="51" t="inlineStr">
        <is>
          <t>Nivel</t>
        </is>
      </c>
      <c r="I1" s="51" t="inlineStr">
        <is>
          <t>Frecuencia mínima según el nivel (calculada)</t>
        </is>
      </c>
      <c r="J1" s="51" t="inlineStr">
        <is>
          <t>Frecuencia técnica que exige la norma</t>
        </is>
      </c>
      <c r="K1" s="51" t="inlineStr">
        <is>
          <t>Cumple</t>
        </is>
      </c>
      <c r="L1" s="51" t="inlineStr">
        <is>
          <t>Hallazgo y acción requerida</t>
        </is>
      </c>
      <c r="M1" s="51" t="inlineStr">
        <is>
          <t>Responsable</t>
        </is>
      </c>
      <c r="N1" s="51" t="inlineStr">
        <is>
          <t>Fecha</t>
        </is>
      </c>
    </row>
    <row r="2" ht="48" customHeight="1" s="57">
      <c r="A2" s="8" t="inlineStr">
        <is>
          <t>R-01</t>
        </is>
      </c>
      <c r="B2" s="9" t="inlineStr">
        <is>
          <t>A. Edificio y piso</t>
        </is>
      </c>
      <c r="C2" s="54" t="inlineStr">
        <is>
          <t>ESTRUCTURA Y CUBIERTA. Columnas sin impacto ni corrosión y con protectores; canales, bajantes y tragantes limpios antes de lluvias.</t>
        </is>
      </c>
      <c r="D2" s="47" t="inlineStr">
        <is>
          <t>Informe estructural firmado y orden de limpieza de cubierta.</t>
        </is>
      </c>
      <c r="E2" s="11" t="n">
        <v>5</v>
      </c>
      <c r="F2" s="11" t="n">
        <v>5</v>
      </c>
      <c r="G2" s="8">
        <f>IF(OR($E2="",$F2=""),"",$E2*$F2)</f>
        <v>25</v>
      </c>
      <c r="H2" s="8" t="str">
        <f>IF($G2="","",IF($G2&gt;=20,"Extremo",IF($G2&gt;=12,"Alto",IF($G2&gt;=6,"Medio",IF($G2&gt;=3,"Bajo","Muy bajo")))))</f>
        <v>Extremo</v>
      </c>
      <c r="I2" s="54" t="str">
        <f>IFERROR(VLOOKUP($H2,'4. Escalas'!$A$21:$C$25,3,FALSE),"")</f>
        <v>Diaria o por turno + inspección formal semanal</v>
      </c>
      <c r="J2" s="10" t="inlineStr">
        <is>
          <t>Visual mensual · evaluación estructural cada 1-3 años y tras sismo · cubierta trimestral (NSR-10 / ASCE 7)</t>
        </is>
      </c>
      <c r="K2" s="11" t="n"/>
      <c r="L2" s="12" t="n"/>
      <c r="M2" s="12" t="n"/>
      <c r="N2" s="13" t="n"/>
    </row>
    <row r="3" ht="46" customHeight="1" s="57">
      <c r="A3" s="8" t="inlineStr">
        <is>
          <t>R-02</t>
        </is>
      </c>
      <c r="B3" s="9" t="inlineStr">
        <is>
          <t>A. Edificio y piso</t>
        </is>
      </c>
      <c r="C3" s="54" t="inlineStr">
        <is>
          <t>SECTORIZACIÓN CONTRA INCENDIO. Muros cortafuego completos hasta cubierta, sellos en pasos de ductos y cables, puertas cortafuego con cierre libre.</t>
        </is>
      </c>
      <c r="D3" s="47" t="inlineStr">
        <is>
          <t>Certificado de sellos y checklist de puertas.</t>
        </is>
      </c>
      <c r="E3" s="11" t="n">
        <v>3</v>
      </c>
      <c r="F3" s="11" t="n">
        <v>5</v>
      </c>
      <c r="G3" s="8">
        <f>IF(OR($E3="",$F3=""),"",$E3*$F3)</f>
        <v>15</v>
      </c>
      <c r="H3" s="8" t="str">
        <f>IF($G3="","",IF($G3&gt;=20,"Extremo",IF($G3&gt;=12,"Alto",IF($G3&gt;=6,"Medio",IF($G3&gt;=3,"Bajo","Muy bajo")))))</f>
        <v>Alto</v>
      </c>
      <c r="I3" s="54" t="str">
        <f>IFERROR(VLOOKUP($H3,'4. Escalas'!$A$21:$C$25,3,FALSE),"")</f>
        <v>Semanal + inspección formal mensual</v>
      </c>
      <c r="J3" s="10" t="inlineStr">
        <is>
          <t>Trimestral (NFPA 80 / NFPA 221)</t>
        </is>
      </c>
      <c r="K3" s="11" t="n"/>
      <c r="L3" s="12" t="n"/>
      <c r="M3" s="12" t="n"/>
      <c r="N3" s="13" t="n"/>
    </row>
    <row r="4" ht="46" customHeight="1" s="57">
      <c r="A4" s="8" t="inlineStr">
        <is>
          <t>R-03</t>
        </is>
      </c>
      <c r="B4" s="9" t="inlineStr">
        <is>
          <t>A. Edificio y piso</t>
        </is>
      </c>
      <c r="C4" s="54" t="inlineStr">
        <is>
          <t>PISO — CAPACIDAD, PLANITUD Y FISURAS. Capacidad portante vs. carga actual, planitud acorde a la altura de elevación y ausencia de fisuras bajo placas base.</t>
        </is>
      </c>
      <c r="D4" s="47" t="inlineStr">
        <is>
          <t>Estudio de piso y mapa de fisuras.</t>
        </is>
      </c>
      <c r="E4" s="11" t="n">
        <v>3</v>
      </c>
      <c r="F4" s="11" t="n">
        <v>5</v>
      </c>
      <c r="G4" s="8">
        <f>IF(OR($E4="",$F4=""),"",$E4*$F4)</f>
        <v>15</v>
      </c>
      <c r="H4" s="8" t="str">
        <f>IF($G4="","",IF($G4&gt;=20,"Extremo",IF($G4&gt;=12,"Alto",IF($G4&gt;=6,"Medio",IF($G4&gt;=3,"Bajo","Muy bajo")))))</f>
        <v>Alto</v>
      </c>
      <c r="I4" s="54" t="str">
        <f>IFERROR(VLOOKUP($H4,'4. Escalas'!$A$21:$C$25,3,FALSE),"")</f>
        <v>Semanal + inspección formal mensual</v>
      </c>
      <c r="J4" s="10" t="inlineStr">
        <is>
          <t>Semestral · perfilometría cada 2-3 años en pasillo estrecho (EN 15620 / TR34 / ACI 302)</t>
        </is>
      </c>
      <c r="K4" s="11" t="n"/>
      <c r="L4" s="12" t="n"/>
      <c r="M4" s="12" t="n"/>
      <c r="N4" s="13" t="n"/>
    </row>
    <row r="5" ht="46" customHeight="1" s="57">
      <c r="A5" s="8" t="inlineStr">
        <is>
          <t>R-04</t>
        </is>
      </c>
      <c r="B5" s="9" t="inlineStr">
        <is>
          <t>A. Edificio y piso</t>
        </is>
      </c>
      <c r="C5" s="54" t="inlineStr">
        <is>
          <t>PISO — JUNTAS, REJILLAS Y TRANSICIONES. Sellante y bordes de junta sanos, rejillas y tapas a nivel y con clase de carga adecuada.</t>
        </is>
      </c>
      <c r="D5" s="47" t="inlineStr">
        <is>
          <t>Mapa de juntas y programa de resellado.</t>
        </is>
      </c>
      <c r="E5" s="11" t="n">
        <v>4</v>
      </c>
      <c r="F5" s="11" t="n">
        <v>3</v>
      </c>
      <c r="G5" s="8">
        <f>IF(OR($E5="",$F5=""),"",$E5*$F5)</f>
        <v>12</v>
      </c>
      <c r="H5" s="8" t="str">
        <f>IF($G5="","",IF($G5&gt;=20,"Extremo",IF($G5&gt;=12,"Alto",IF($G5&gt;=6,"Medio",IF($G5&gt;=3,"Bajo","Muy bajo")))))</f>
        <v>Alto</v>
      </c>
      <c r="I5" s="54" t="str">
        <f>IFERROR(VLOOKUP($H5,'4. Escalas'!$A$21:$C$25,3,FALSE),"")</f>
        <v>Semanal + inspección formal mensual</v>
      </c>
      <c r="J5" s="10" t="inlineStr">
        <is>
          <t>Trimestral · resellado cada 2 a 5 años (ACI 302 / TR34 / EN 124)</t>
        </is>
      </c>
      <c r="K5" s="11" t="n"/>
      <c r="L5" s="12" t="n"/>
      <c r="M5" s="12" t="n"/>
      <c r="N5" s="13" t="n"/>
    </row>
    <row r="6" ht="48" customHeight="1" s="57">
      <c r="A6" s="8" t="inlineStr">
        <is>
          <t>R-05</t>
        </is>
      </c>
      <c r="B6" s="9" t="inlineStr">
        <is>
          <t>A. Edificio y piso</t>
        </is>
      </c>
      <c r="C6" s="46" t="inlineStr">
        <is>
          <t>PISO — MUELLES, RAMPAS Y ZONAS ESPECIALES. Franja frente a muelles sin hundimientos, rampas con textura y drenaje, contención en zonas de baterías y químicos, y niveles del piso en cámaras de congelación.</t>
        </is>
      </c>
      <c r="D6" s="47" t="inlineStr">
        <is>
          <t>Checklist por muelle y registro de niveles.</t>
        </is>
      </c>
      <c r="E6" s="11" t="n">
        <v>4</v>
      </c>
      <c r="F6" s="11" t="n">
        <v>3</v>
      </c>
      <c r="G6" s="8">
        <f>IF(OR($E6="",$F6=""),"",$E6*$F6)</f>
        <v>12</v>
      </c>
      <c r="H6" s="8" t="str">
        <f>IF($G6="","",IF($G6&gt;=20,"Extremo",IF($G6&gt;=12,"Alto",IF($G6&gt;=6,"Medio",IF($G6&gt;=3,"Bajo","Muy bajo")))))</f>
        <v>Alto</v>
      </c>
      <c r="I6" s="54" t="str">
        <f>IFERROR(VLOOKUP($H6,'4. Escalas'!$A$21:$C$25,3,FALSE),"")</f>
        <v>Semanal + inspección formal mensual</v>
      </c>
      <c r="J6" s="10" t="inlineStr">
        <is>
          <t>Trimestral · niveles de cámara de congelación anual (ACI 302 / ANSI B56.1 / NFPA 30 / IIAR)</t>
        </is>
      </c>
      <c r="K6" s="11" t="n"/>
      <c r="L6" s="12" t="n"/>
      <c r="M6" s="12" t="n"/>
      <c r="N6" s="13" t="n"/>
    </row>
    <row r="7" ht="46" customHeight="1" s="57">
      <c r="A7" s="8" t="inlineStr">
        <is>
          <t>R-06</t>
        </is>
      </c>
      <c r="B7" s="9" t="inlineStr">
        <is>
          <t>A. Edificio y piso</t>
        </is>
      </c>
      <c r="C7" s="54" t="inlineStr">
        <is>
          <t>PISO — DESLIZAMIENTO Y HUMEDAD. Superficie antideslizante en zonas húmedas, atención inmediata de derrames y ausencia de condensación recurrente.</t>
        </is>
      </c>
      <c r="D7" s="47" t="inlineStr">
        <is>
          <t>Evaluación de deslizamiento y procedimiento de derrames.</t>
        </is>
      </c>
      <c r="E7" s="11" t="n">
        <v>4</v>
      </c>
      <c r="F7" s="11" t="n">
        <v>3</v>
      </c>
      <c r="G7" s="8">
        <f>IF(OR($E7="",$F7=""),"",$E7*$F7)</f>
        <v>12</v>
      </c>
      <c r="H7" s="8" t="str">
        <f>IF($G7="","",IF($G7&gt;=20,"Extremo",IF($G7&gt;=12,"Alto",IF($G7&gt;=6,"Medio",IF($G7&gt;=3,"Bajo","Muy bajo")))))</f>
        <v>Alto</v>
      </c>
      <c r="I7" s="54" t="str">
        <f>IFERROR(VLOOKUP($H7,'4. Escalas'!$A$21:$C$25,3,FALSE),"")</f>
        <v>Semanal + inspección formal mensual</v>
      </c>
      <c r="J7" s="10" t="inlineStr">
        <is>
          <t>Ronda diaria · evaluación semestral (ANSI A326.3 / DIN 51130 / ASTM F2170)</t>
        </is>
      </c>
      <c r="K7" s="11" t="n"/>
      <c r="L7" s="12" t="n"/>
      <c r="M7" s="12" t="n"/>
      <c r="N7" s="13" t="n"/>
    </row>
    <row r="8" ht="48" customHeight="1" s="57">
      <c r="A8" s="8" t="inlineStr">
        <is>
          <t>R-07</t>
        </is>
      </c>
      <c r="B8" s="9" t="inlineStr">
        <is>
          <t>A. Edificio y piso</t>
        </is>
      </c>
      <c r="C8" s="54" t="inlineStr">
        <is>
          <t>PISO — SUPERFICIE, DEMARCACIÓN Y REPARACIONES. Sin desprendimiento ni polvo de concreto; demarcación visible de pasillos, senderos y ubicaciones; reparaciones sin desnivel.</t>
        </is>
      </c>
      <c r="D8" s="47" t="inlineStr">
        <is>
          <t>Plano de demarcación e historial de reparaciones.</t>
        </is>
      </c>
      <c r="E8" s="11" t="n">
        <v>4</v>
      </c>
      <c r="F8" s="11" t="n">
        <v>3</v>
      </c>
      <c r="G8" s="8">
        <f>IF(OR($E8="",$F8=""),"",$E8*$F8)</f>
        <v>12</v>
      </c>
      <c r="H8" s="8" t="str">
        <f>IF($G8="","",IF($G8&gt;=20,"Extremo",IF($G8&gt;=12,"Alto",IF($G8&gt;=6,"Medio",IF($G8&gt;=3,"Bajo","Muy bajo")))))</f>
        <v>Alto</v>
      </c>
      <c r="I8" s="54" t="str">
        <f>IFERROR(VLOOKUP($H8,'4. Escalas'!$A$21:$C$25,3,FALSE),"")</f>
        <v>Semanal + inspección formal mensual</v>
      </c>
      <c r="J8" s="10" t="inlineStr">
        <is>
          <t>Demarcación mensual (repintado anual) · superficie y reparaciones semestral (ACI 302 / ACI 546)</t>
        </is>
      </c>
      <c r="K8" s="11" t="n"/>
      <c r="L8" s="12" t="n"/>
      <c r="M8" s="12" t="n"/>
      <c r="N8" s="13" t="n"/>
    </row>
    <row r="9" ht="46" customHeight="1" s="57">
      <c r="A9" s="8" t="inlineStr">
        <is>
          <t>R-08</t>
        </is>
      </c>
      <c r="B9" s="14" t="inlineStr">
        <is>
          <t>B. Estantería</t>
        </is>
      </c>
      <c r="C9" s="54" t="inlineStr">
        <is>
          <t>CAPACIDAD DE CARGA. Placa de carga visible por módulo y peso real del pallet dentro de la capacidad declarada.</t>
        </is>
      </c>
      <c r="D9" s="47" t="inlineStr">
        <is>
          <t>Memoria de cálculo del fabricante y muestreo de pesaje.</t>
        </is>
      </c>
      <c r="E9" s="11" t="n">
        <v>1</v>
      </c>
      <c r="F9" s="11" t="n">
        <v>5</v>
      </c>
      <c r="G9" s="8">
        <f>IF(OR($E9="",$F9=""),"",$E9*$F9)</f>
        <v>5</v>
      </c>
      <c r="H9" s="8" t="str">
        <f>IF($G9="","",IF($G9&gt;=20,"Extremo",IF($G9&gt;=12,"Alto",IF($G9&gt;=6,"Medio",IF($G9&gt;=3,"Bajo","Muy bajo")))))</f>
        <v>Bajo</v>
      </c>
      <c r="I9" s="54" t="str">
        <f>IFERROR(VLOOKUP($H9,'4. Escalas'!$A$21:$C$25,3,FALSE),"")</f>
        <v>Semestral</v>
      </c>
      <c r="J9" s="10" t="inlineStr">
        <is>
          <t>Verificación semanal · inspección experta anual (EN 15635 / EN 15512 / RMI MH16.1)</t>
        </is>
      </c>
      <c r="K9" s="11" t="n"/>
      <c r="L9" s="12" t="n"/>
      <c r="M9" s="12" t="n"/>
      <c r="N9" s="13" t="n"/>
    </row>
    <row r="10" ht="60" customHeight="1" s="57">
      <c r="A10" s="8" t="inlineStr">
        <is>
          <t>R-09</t>
        </is>
      </c>
      <c r="B10" s="14" t="inlineStr">
        <is>
          <t>B. Estantería</t>
        </is>
      </c>
      <c r="C10" s="54" t="inlineStr">
        <is>
          <t>DAÑO POR IMPACTO. Recorrido con clasificación verde / ámbar / rojo; los módulos ROJOS se descargan y bloquean de inmediato.</t>
        </is>
      </c>
      <c r="D10" s="47" t="inlineStr">
        <is>
          <t>Formato de inspección con código de módulo y orden de reparación.</t>
        </is>
      </c>
      <c r="E10" s="11" t="n">
        <v>1</v>
      </c>
      <c r="F10" s="11" t="n">
        <v>5</v>
      </c>
      <c r="G10" s="8">
        <f>IF(OR($E10="",$F10=""),"",$E10*$F10)</f>
        <v>5</v>
      </c>
      <c r="H10" s="8" t="str">
        <f>IF($G10="","",IF($G10&gt;=20,"Extremo",IF($G10&gt;=12,"Alto",IF($G10&gt;=6,"Medio",IF($G10&gt;=3,"Bajo","Muy bajo")))))</f>
        <v>Bajo</v>
      </c>
      <c r="I10" s="54" t="str">
        <f>IFERROR(VLOOKUP($H10,'4. Escalas'!$A$21:$C$25,3,FALSE),"")</f>
        <v>Semestral</v>
      </c>
      <c r="J10" s="10" t="inlineStr">
        <is>
          <t>Reporte inmediato de cualquier trabajador · recorrido semanal del responsable de la seguridad de la estantería · experta anual (EN 15635 §9)</t>
        </is>
      </c>
      <c r="K10" s="11" t="n"/>
      <c r="L10" s="12" t="n"/>
      <c r="M10" s="12" t="n"/>
      <c r="N10" s="13" t="n"/>
    </row>
    <row r="11" ht="46" customHeight="1" s="57">
      <c r="A11" s="8" t="inlineStr">
        <is>
          <t>R-10</t>
        </is>
      </c>
      <c r="B11" s="14" t="inlineStr">
        <is>
          <t>B. Estantería</t>
        </is>
      </c>
      <c r="C11" s="54" t="inlineStr">
        <is>
          <t>ANCLAJES Y CONECTORES. Montantes anclados con el torque especificado, placas base sanas y pasadores de seguridad en todas las vigas.</t>
        </is>
      </c>
      <c r="D11" s="47" t="inlineStr">
        <is>
          <t>Protocolo de torque y checklist de pasadores por zona.</t>
        </is>
      </c>
      <c r="E11" s="11" t="n">
        <v>4</v>
      </c>
      <c r="F11" s="11" t="n">
        <v>5</v>
      </c>
      <c r="G11" s="8">
        <f>IF(OR($E11="",$F11=""),"",$E11*$F11)</f>
        <v>20</v>
      </c>
      <c r="H11" s="8" t="str">
        <f>IF($G11="","",IF($G11&gt;=20,"Extremo",IF($G11&gt;=12,"Alto",IF($G11&gt;=6,"Medio",IF($G11&gt;=3,"Bajo","Muy bajo")))))</f>
        <v>Extremo</v>
      </c>
      <c r="I11" s="54" t="str">
        <f>IFERROR(VLOOKUP($H11,'4. Escalas'!$A$21:$C$25,3,FALSE),"")</f>
        <v>Diaria o por turno + inspección formal semanal</v>
      </c>
      <c r="J11" s="10" t="inlineStr">
        <is>
          <t>Pasadores mensual (muestreo) · anclajes y torque anual y tras sismo (EN 15629 / EN 15635)</t>
        </is>
      </c>
      <c r="K11" s="11" t="n"/>
      <c r="L11" s="12" t="n"/>
      <c r="M11" s="12" t="n"/>
      <c r="N11" s="13" t="n"/>
    </row>
    <row r="12" ht="46" customHeight="1" s="57">
      <c r="A12" s="8" t="inlineStr">
        <is>
          <t>R-11</t>
        </is>
      </c>
      <c r="B12" s="14" t="inlineStr">
        <is>
          <t>B. Estantería</t>
        </is>
      </c>
      <c r="C12" s="54" t="inlineStr">
        <is>
          <t>PROTECCIÓN PERIMETRAL Y ANTIDERRUMBE. Protectores de columna y guardarraíles en esquinas, extremos de pasillo y zonas de tránsito; malla donde la estantería da a zonas de personal.</t>
        </is>
      </c>
      <c r="D12" s="47" t="inlineStr">
        <is>
          <t>Plano de protecciones.</t>
        </is>
      </c>
      <c r="E12" s="11" t="n">
        <v>4</v>
      </c>
      <c r="F12" s="11" t="n">
        <v>4</v>
      </c>
      <c r="G12" s="8">
        <f>IF(OR($E12="",$F12=""),"",$E12*$F12)</f>
        <v>16</v>
      </c>
      <c r="H12" s="8" t="str">
        <f>IF($G12="","",IF($G12&gt;=20,"Extremo",IF($G12&gt;=12,"Alto",IF($G12&gt;=6,"Medio",IF($G12&gt;=3,"Bajo","Muy bajo")))))</f>
        <v>Alto</v>
      </c>
      <c r="I12" s="54" t="str">
        <f>IFERROR(VLOOKUP($H12,'4. Escalas'!$A$21:$C$25,3,FALSE),"")</f>
        <v>Semanal + inspección formal mensual</v>
      </c>
      <c r="J12" s="10" t="inlineStr">
        <is>
          <t>Protectores mensual · mallas y barreras trimestral (EN 15635 / EN 15512)</t>
        </is>
      </c>
      <c r="K12" s="11" t="n"/>
      <c r="L12" s="12" t="n"/>
      <c r="M12" s="12" t="n"/>
      <c r="N12" s="13" t="n"/>
    </row>
    <row r="13" ht="48" customHeight="1" s="57">
      <c r="A13" s="8" t="inlineStr">
        <is>
          <t>R-12</t>
        </is>
      </c>
      <c r="B13" s="14" t="inlineStr">
        <is>
          <t>B. Estantería</t>
        </is>
      </c>
      <c r="C13" s="54" t="inlineStr">
        <is>
          <t>SISTEMAS ESPECIALES: COMPACTO Y ENTREPISO. Guías, rieles y topes de la estantería compacta alineados; entrepiso con placa de carga, barandas, rodapiés y compuerta con enclavamiento.</t>
        </is>
      </c>
      <c r="D13" s="47" t="inlineStr">
        <is>
          <t>Memoria del entrepiso y mantenimiento del fabricante.</t>
        </is>
      </c>
      <c r="E13" s="11" t="n">
        <v>3</v>
      </c>
      <c r="F13" s="11" t="n">
        <v>5</v>
      </c>
      <c r="G13" s="8">
        <f>IF(OR($E13="",$F13=""),"",$E13*$F13)</f>
        <v>15</v>
      </c>
      <c r="H13" s="8" t="str">
        <f>IF($G13="","",IF($G13&gt;=20,"Extremo",IF($G13&gt;=12,"Alto",IF($G13&gt;=6,"Medio",IF($G13&gt;=3,"Bajo","Muy bajo")))))</f>
        <v>Alto</v>
      </c>
      <c r="I13" s="54" t="str">
        <f>IFERROR(VLOOKUP($H13,'4. Escalas'!$A$21:$C$25,3,FALSE),"")</f>
        <v>Semanal + inspección formal mensual</v>
      </c>
      <c r="J13" s="10" t="inlineStr">
        <is>
          <t>Compacto visual semanal y especializado semestral · entrepiso trimestral (EN 15635 / Res. 1409 de 2012)</t>
        </is>
      </c>
      <c r="K13" s="11" t="n"/>
      <c r="L13" s="12" t="n"/>
      <c r="M13" s="12" t="n"/>
      <c r="N13" s="13" t="n"/>
    </row>
    <row r="14" ht="46" customHeight="1" s="57">
      <c r="A14" s="8" t="inlineStr">
        <is>
          <t>R-13</t>
        </is>
      </c>
      <c r="B14" s="14" t="inlineStr">
        <is>
          <t>B. Estantería</t>
        </is>
      </c>
      <c r="C14" s="54" t="inlineStr">
        <is>
          <t>UNIDAD DE CARGA Y APILAMIENTO EN BLOQUE. Retiro de estibas averiadas antes de subir a la estantería, enzunchado o film adecuado, y rumas dentro de la altura máxima y estables.</t>
        </is>
      </c>
      <c r="D14" s="47" t="inlineStr">
        <is>
          <t>Estándar de apilamiento y registro de rechazo de estibas.</t>
        </is>
      </c>
      <c r="E14" s="11" t="n">
        <v>4</v>
      </c>
      <c r="F14" s="11" t="n">
        <v>4</v>
      </c>
      <c r="G14" s="8">
        <f>IF(OR($E14="",$F14=""),"",$E14*$F14)</f>
        <v>16</v>
      </c>
      <c r="H14" s="8" t="str">
        <f>IF($G14="","",IF($G14&gt;=20,"Extremo",IF($G14&gt;=12,"Alto",IF($G14&gt;=6,"Medio",IF($G14&gt;=3,"Bajo","Muy bajo")))))</f>
        <v>Alto</v>
      </c>
      <c r="I14" s="54" t="str">
        <f>IFERROR(VLOOKUP($H14,'4. Escalas'!$A$21:$C$25,3,FALSE),"")</f>
        <v>Semanal + inspección formal mensual</v>
      </c>
      <c r="J14" s="10" t="inlineStr">
        <is>
          <t>Diaria: en recibo y antes de ubicar (EN 15635 §8 / NFPA 230)</t>
        </is>
      </c>
      <c r="K14" s="11" t="n"/>
      <c r="L14" s="12" t="n"/>
      <c r="M14" s="12" t="n"/>
      <c r="N14" s="13" t="n"/>
    </row>
    <row r="15" ht="48" customHeight="1" s="57">
      <c r="A15" s="8" t="inlineStr">
        <is>
          <t>R-14</t>
        </is>
      </c>
      <c r="B15" s="14" t="inlineStr">
        <is>
          <t>B. Estantería</t>
        </is>
      </c>
      <c r="C15" s="54" t="inlineStr">
        <is>
          <t>CAMBIOS DE CONFIGURACIÓN E INSPECCIÓN EXPERTA. Aval técnico escrito para todo cambio de nivel o configuración, placas actualizadas e inspección experta anual vigente.</t>
        </is>
      </c>
      <c r="D15" s="47" t="inlineStr">
        <is>
          <t>Aval del fabricante o calculista e informe de la inspección experta.</t>
        </is>
      </c>
      <c r="E15" s="11" t="n">
        <v>3</v>
      </c>
      <c r="F15" s="11" t="n">
        <v>5</v>
      </c>
      <c r="G15" s="8">
        <f>IF(OR($E15="",$F15=""),"",$E15*$F15)</f>
        <v>15</v>
      </c>
      <c r="H15" s="8" t="str">
        <f>IF($G15="","",IF($G15&gt;=20,"Extremo",IF($G15&gt;=12,"Alto",IF($G15&gt;=6,"Medio",IF($G15&gt;=3,"Bajo","Muy bajo")))))</f>
        <v>Alto</v>
      </c>
      <c r="I15" s="54" t="str">
        <f>IFERROR(VLOOKUP($H15,'4. Escalas'!$A$21:$C$25,3,FALSE),"")</f>
        <v>Semanal + inspección formal mensual</v>
      </c>
      <c r="J15" s="10" t="inlineStr">
        <is>
          <t>En cada cambio · verificación anual de configuración vs. plano aprobado (EN 15635 / EN 15629)</t>
        </is>
      </c>
      <c r="K15" s="11" t="n"/>
      <c r="L15" s="12" t="n"/>
      <c r="M15" s="12" t="n"/>
      <c r="N15" s="13" t="n"/>
    </row>
    <row r="16" ht="46" customHeight="1" s="57">
      <c r="A16" s="8" t="inlineStr">
        <is>
          <t>R-15</t>
        </is>
      </c>
      <c r="B16" s="15" t="inlineStr">
        <is>
          <t>C. Volumen y ocupación</t>
        </is>
      </c>
      <c r="C16" s="54" t="inlineStr">
        <is>
          <t>OCUPACIÓN Y PASILLOS LIBRES. % de ocupación vs. capacidad y pasillos, salidas, extintores, hidrantes y tableros sin obstrucción.</t>
        </is>
      </c>
      <c r="D16" s="47" t="inlineStr">
        <is>
          <t>Reporte de ocupación del sistema de gestión de bodega (WMS) y ronda de orden y aseo.</t>
        </is>
      </c>
      <c r="E16" s="11" t="n">
        <v>4</v>
      </c>
      <c r="F16" s="11" t="n">
        <v>5</v>
      </c>
      <c r="G16" s="8">
        <f>IF(OR($E16="",$F16=""),"",$E16*$F16)</f>
        <v>20</v>
      </c>
      <c r="H16" s="8" t="str">
        <f>IF($G16="","",IF($G16&gt;=20,"Extremo",IF($G16&gt;=12,"Alto",IF($G16&gt;=6,"Medio",IF($G16&gt;=3,"Bajo","Muy bajo")))))</f>
        <v>Extremo</v>
      </c>
      <c r="I16" s="54" t="str">
        <f>IFERROR(VLOOKUP($H16,'4. Escalas'!$A$21:$C$25,3,FALSE),"")</f>
        <v>Diaria o por turno + inspección formal semanal</v>
      </c>
      <c r="J16" s="10" t="inlineStr">
        <is>
          <t>Ronda diaria · indicador de ocupación diario y revisión semanal (NFPA 101 / NTC 1700)</t>
        </is>
      </c>
      <c r="K16" s="11" t="n"/>
      <c r="L16" s="12" t="n"/>
      <c r="M16" s="12" t="n"/>
      <c r="N16" s="13" t="n"/>
    </row>
    <row r="17" ht="48" customHeight="1" s="57">
      <c r="A17" s="8" t="inlineStr">
        <is>
          <t>R-16</t>
        </is>
      </c>
      <c r="B17" s="15" t="inlineStr">
        <is>
          <t>C. Volumen y ocupación</t>
        </is>
      </c>
      <c r="C17" s="54" t="inlineStr">
        <is>
          <t>CARGA DE FUEGO VS. PROTECCIÓN. Altura máxima respetada, 45 cm libres bajo rociadores y clasificación de la mercancía acorde al diseño hidráulico.</t>
        </is>
      </c>
      <c r="D17" s="47" t="inlineStr">
        <is>
          <t>Registro de medición y estudio de clasificación.</t>
        </is>
      </c>
      <c r="E17" s="11" t="n">
        <v>4</v>
      </c>
      <c r="F17" s="11" t="n">
        <v>5</v>
      </c>
      <c r="G17" s="8">
        <f>IF(OR($E17="",$F17=""),"",$E17*$F17)</f>
        <v>20</v>
      </c>
      <c r="H17" s="8" t="str">
        <f>IF($G17="","",IF($G17&gt;=20,"Extremo",IF($G17&gt;=12,"Alto",IF($G17&gt;=6,"Medio",IF($G17&gt;=3,"Bajo","Muy bajo")))))</f>
        <v>Extremo</v>
      </c>
      <c r="I17" s="54" t="str">
        <f>IFERROR(VLOOKUP($H17,'4. Escalas'!$A$21:$C$25,3,FALSE),"")</f>
        <v>Diaria o por turno + inspección formal semanal</v>
      </c>
      <c r="J17" s="10" t="inlineStr">
        <is>
          <t>Mensual (altura y espacio libre) · revisión de clasificación semestral y ante cambio de portafolio (NFPA 13 / 230)</t>
        </is>
      </c>
      <c r="K17" s="11" t="n"/>
      <c r="L17" s="12" t="n"/>
      <c r="M17" s="12" t="n"/>
      <c r="N17" s="13" t="n"/>
    </row>
    <row r="18" ht="46" customHeight="1" s="57">
      <c r="A18" s="8" t="inlineStr">
        <is>
          <t>R-17</t>
        </is>
      </c>
      <c r="B18" s="15" t="inlineStr">
        <is>
          <t>C. Volumen y ocupación</t>
        </is>
      </c>
      <c r="C18" s="54" t="inlineStr">
        <is>
          <t>PICOS ESTACIONALES Y VALOR ASEGURADO. Plan de temporada (capacidad, personal, inducción, refuerzo de supervisión) y valor del inventario pico vs. valor asegurado.</t>
        </is>
      </c>
      <c r="D18" s="47" t="inlineStr">
        <is>
          <t>Plan de temporada y reporte de valorización.</t>
        </is>
      </c>
      <c r="E18" s="11" t="n">
        <v>3</v>
      </c>
      <c r="F18" s="11" t="n">
        <v>4</v>
      </c>
      <c r="G18" s="8">
        <f>IF(OR($E18="",$F18=""),"",$E18*$F18)</f>
        <v>12</v>
      </c>
      <c r="H18" s="8" t="str">
        <f>IF($G18="","",IF($G18&gt;=20,"Extremo",IF($G18&gt;=12,"Alto",IF($G18&gt;=6,"Medio",IF($G18&gt;=3,"Bajo","Muy bajo")))))</f>
        <v>Alto</v>
      </c>
      <c r="I18" s="54" t="str">
        <f>IFERROR(VLOOKUP($H18,'4. Escalas'!$A$21:$C$25,3,FALSE),"")</f>
        <v>Semanal + inspección formal mensual</v>
      </c>
      <c r="J18" s="10" t="inlineStr">
        <is>
          <t>Antes de cada temporada · comparación valor vs. póliza mensual</t>
        </is>
      </c>
      <c r="K18" s="11" t="n"/>
      <c r="L18" s="12" t="n"/>
      <c r="M18" s="12" t="n"/>
      <c r="N18" s="13" t="n"/>
    </row>
    <row r="19" ht="48" customHeight="1" s="57">
      <c r="A19" s="8" t="inlineStr">
        <is>
          <t>R-18</t>
        </is>
      </c>
      <c r="B19" s="12" t="inlineStr">
        <is>
          <t>D. Muelles y patio</t>
        </is>
      </c>
      <c r="C19" s="54" t="inlineStr">
        <is>
          <t>ASEGURAMIENTO DEL VEHÍCULO EN MUELLE. Calzo o anclaje del vehículo al muelle (dock lock) antes de cada cargue, control de llaves, barrera en puertas sin vehículo y soporte del semirremolque desacoplado.</t>
        </is>
      </c>
      <c r="D19" s="47" t="inlineStr">
        <is>
          <t>Checklist de muelle y registro de entrega de llaves.</t>
        </is>
      </c>
      <c r="E19" s="11" t="n">
        <v>3</v>
      </c>
      <c r="F19" s="11" t="n">
        <v>5</v>
      </c>
      <c r="G19" s="8">
        <f>IF(OR($E19="",$F19=""),"",$E19*$F19)</f>
        <v>15</v>
      </c>
      <c r="H19" s="8" t="str">
        <f>IF($G19="","",IF($G19&gt;=20,"Extremo",IF($G19&gt;=12,"Alto",IF($G19&gt;=6,"Medio",IF($G19&gt;=3,"Bajo","Muy bajo")))))</f>
        <v>Alto</v>
      </c>
      <c r="I19" s="54" t="str">
        <f>IFERROR(VLOOKUP($H19,'4. Escalas'!$A$21:$C$25,3,FALSE),"")</f>
        <v>Semanal + inspección formal mensual</v>
      </c>
      <c r="J19" s="10" t="inlineStr">
        <is>
          <t>En cada operación · verificación diaria del supervisor (OSHA 1910.178(k))</t>
        </is>
      </c>
      <c r="K19" s="11" t="n"/>
      <c r="L19" s="12" t="n"/>
      <c r="M19" s="12" t="n"/>
      <c r="N19" s="13" t="n"/>
    </row>
    <row r="20" ht="46" customHeight="1" s="57">
      <c r="A20" s="8" t="inlineStr">
        <is>
          <t>R-19</t>
        </is>
      </c>
      <c r="B20" s="12" t="inlineStr">
        <is>
          <t>D. Muelles y patio</t>
        </is>
      </c>
      <c r="C20" s="54" t="inlineStr">
        <is>
          <t>TRÁNSITO PEATÓN-VEHÍCULO EN PATIO. Senderos demarcados, separación de la zona de maniobra, guía en reversa, sala de espera de conductores e iluminación suficiente.</t>
        </is>
      </c>
      <c r="D20" s="47" t="inlineStr">
        <is>
          <t>Plan de tráfico del patio e inducción a conductores.</t>
        </is>
      </c>
      <c r="E20" s="11" t="n">
        <v>4</v>
      </c>
      <c r="F20" s="11" t="n">
        <v>4</v>
      </c>
      <c r="G20" s="8">
        <f>IF(OR($E20="",$F20=""),"",$E20*$F20)</f>
        <v>16</v>
      </c>
      <c r="H20" s="8" t="str">
        <f>IF($G20="","",IF($G20&gt;=20,"Extremo",IF($G20&gt;=12,"Alto",IF($G20&gt;=6,"Medio",IF($G20&gt;=3,"Bajo","Muy bajo")))))</f>
        <v>Alto</v>
      </c>
      <c r="I20" s="54" t="str">
        <f>IFERROR(VLOOKUP($H20,'4. Escalas'!$A$21:$C$25,3,FALSE),"")</f>
        <v>Semanal + inspección formal mensual</v>
      </c>
      <c r="J20" s="10" t="inlineStr">
        <is>
          <t>Verificación diaria · auditoría mensual · iluminación semestral (SG-SST / RETILAP)</t>
        </is>
      </c>
      <c r="K20" s="11" t="n"/>
      <c r="L20" s="12" t="n"/>
      <c r="M20" s="12" t="n"/>
      <c r="N20" s="13" t="n"/>
    </row>
    <row r="21" ht="48" customHeight="1" s="57">
      <c r="A21" s="8" t="inlineStr">
        <is>
          <t>R-20</t>
        </is>
      </c>
      <c r="B21" s="12" t="inlineStr">
        <is>
          <t>D. Muelles y patio</t>
        </is>
      </c>
      <c r="C21" s="54" t="inlineStr">
        <is>
          <t>EQUIPOS DE MUELLE. Niveladores, rampas, puertas y abrigos sin daño ni fugas, con capacidad rotulada y ventilación en muelles cerrados.</t>
        </is>
      </c>
      <c r="D21" s="47" t="inlineStr">
        <is>
          <t>Hoja de vida del equipo y plan de mantenimiento.</t>
        </is>
      </c>
      <c r="E21" s="11" t="n">
        <v>3</v>
      </c>
      <c r="F21" s="11" t="n">
        <v>4</v>
      </c>
      <c r="G21" s="8">
        <f>IF(OR($E21="",$F21=""),"",$E21*$F21)</f>
        <v>12</v>
      </c>
      <c r="H21" s="8" t="str">
        <f>IF($G21="","",IF($G21&gt;=20,"Extremo",IF($G21&gt;=12,"Alto",IF($G21&gt;=6,"Medio",IF($G21&gt;=3,"Bajo","Muy bajo")))))</f>
        <v>Alto</v>
      </c>
      <c r="I21" s="54" t="str">
        <f>IFERROR(VLOOKUP($H21,'4. Escalas'!$A$21:$C$25,3,FALSE),"")</f>
        <v>Semanal + inspección formal mensual</v>
      </c>
      <c r="J21" s="10" t="inlineStr">
        <is>
          <t>Inspección mensual · mantenimiento preventivo semestral (manual del fabricante / ANSI MH30.1)</t>
        </is>
      </c>
      <c r="K21" s="11" t="n"/>
      <c r="L21" s="12" t="n"/>
      <c r="M21" s="12" t="n"/>
      <c r="N21" s="13" t="n"/>
    </row>
    <row r="22" ht="46" customHeight="1" s="57">
      <c r="A22" s="8" t="inlineStr">
        <is>
          <t>R-21</t>
        </is>
      </c>
      <c r="B22" s="12" t="inlineStr">
        <is>
          <t>D. Muelles y patio</t>
        </is>
      </c>
      <c r="C22" s="54" t="inlineStr">
        <is>
          <t>PROGRAMACIÓN DE CITAS Y CONGESTIÓN. Cumplimiento de ventanas de cita, tiempo de permanencia del vehículo y ocupación de muelle por hora.</t>
        </is>
      </c>
      <c r="D22" s="47" t="inlineStr">
        <is>
          <t>Reporte de citas y de tiempos.</t>
        </is>
      </c>
      <c r="E22" s="11" t="n">
        <v>4</v>
      </c>
      <c r="F22" s="11" t="n">
        <v>3</v>
      </c>
      <c r="G22" s="8">
        <f>IF(OR($E22="",$F22=""),"",$E22*$F22)</f>
        <v>12</v>
      </c>
      <c r="H22" s="8" t="str">
        <f>IF($G22="","",IF($G22&gt;=20,"Extremo",IF($G22&gt;=12,"Alto",IF($G22&gt;=6,"Medio",IF($G22&gt;=3,"Bajo","Muy bajo")))))</f>
        <v>Alto</v>
      </c>
      <c r="I22" s="54" t="str">
        <f>IFERROR(VLOOKUP($H22,'4. Escalas'!$A$21:$C$25,3,FALSE),"")</f>
        <v>Semanal + inspección formal mensual</v>
      </c>
      <c r="J22" s="10" t="inlineStr">
        <is>
          <t>Semanal (indicador de citas y de permanencia)</t>
        </is>
      </c>
      <c r="K22" s="11" t="n"/>
      <c r="L22" s="12" t="n"/>
      <c r="M22" s="12" t="n"/>
      <c r="N22" s="13" t="n"/>
    </row>
    <row r="23" ht="46" customHeight="1" s="57">
      <c r="A23" s="8" t="inlineStr">
        <is>
          <t>R-22</t>
        </is>
      </c>
      <c r="B23" s="49" t="inlineStr">
        <is>
          <t>E. Equipos (manipulación de materiales)</t>
        </is>
      </c>
      <c r="C23" s="54" t="inlineStr">
        <is>
          <t>COLISIÓN Y VOLCAMIENTO. Segregación peatón-equipo, límites de velocidad, espejos en cruces, uso de cinturón y conducción con carga baja.</t>
        </is>
      </c>
      <c r="D23" s="47" t="inlineStr">
        <is>
          <t>Auditoría de comportamiento y reportes de casi-accidente.</t>
        </is>
      </c>
      <c r="E23" s="11" t="n">
        <v>4</v>
      </c>
      <c r="F23" s="11" t="n">
        <v>5</v>
      </c>
      <c r="G23" s="8">
        <f>IF(OR($E23="",$F23=""),"",$E23*$F23)</f>
        <v>20</v>
      </c>
      <c r="H23" s="8" t="str">
        <f>IF($G23="","",IF($G23&gt;=20,"Extremo",IF($G23&gt;=12,"Alto",IF($G23&gt;=6,"Medio",IF($G23&gt;=3,"Bajo","Muy bajo")))))</f>
        <v>Extremo</v>
      </c>
      <c r="I23" s="54" t="str">
        <f>IFERROR(VLOOKUP($H23,'4. Escalas'!$A$21:$C$25,3,FALSE),"")</f>
        <v>Diaria o por turno + inspección formal semanal</v>
      </c>
      <c r="J23" s="10" t="inlineStr">
        <is>
          <t>Observación diaria · auditoría formal mensual (OSHA 1910.178 / ANSI B56.1)</t>
        </is>
      </c>
      <c r="K23" s="11" t="n"/>
      <c r="L23" s="12" t="n"/>
      <c r="M23" s="12" t="n"/>
      <c r="N23" s="13" t="n"/>
    </row>
    <row r="24" ht="48" customHeight="1" s="57">
      <c r="A24" s="8" t="inlineStr">
        <is>
          <t>R-23</t>
        </is>
      </c>
      <c r="B24" s="49" t="inlineStr">
        <is>
          <t>E. Equipos (manipulación de materiales)</t>
        </is>
      </c>
      <c r="C24" s="54" t="inlineStr">
        <is>
          <t>PREOPERACIONAL Y MANTENIMIENTO. Inspección por turno firmada con bloqueo ante falla crítica y preventivo al día (frenos, mástil, cadenas, horquillas, fugas).</t>
        </is>
      </c>
      <c r="D24" s="47" t="inlineStr">
        <is>
          <t>Formatos de preoperacional y hoja de vida por equipo.</t>
        </is>
      </c>
      <c r="E24" s="11" t="n">
        <v>3</v>
      </c>
      <c r="F24" s="11" t="n">
        <v>5</v>
      </c>
      <c r="G24" s="8">
        <f>IF(OR($E24="",$F24=""),"",$E24*$F24)</f>
        <v>15</v>
      </c>
      <c r="H24" s="8" t="str">
        <f>IF($G24="","",IF($G24&gt;=20,"Extremo",IF($G24&gt;=12,"Alto",IF($G24&gt;=6,"Medio",IF($G24&gt;=3,"Bajo","Muy bajo")))))</f>
        <v>Alto</v>
      </c>
      <c r="I24" s="54" t="str">
        <f>IFERROR(VLOOKUP($H24,'4. Escalas'!$A$21:$C$25,3,FALSE),"")</f>
        <v>Semanal + inspección formal mensual</v>
      </c>
      <c r="J24" s="10" t="inlineStr">
        <is>
          <t>Por turno · preventivo por horómetro (250/500/1000 h) · horquillas anual (OSHA 1910.178(q) / ISO 5057)</t>
        </is>
      </c>
      <c r="K24" s="11" t="n"/>
      <c r="L24" s="12" t="n"/>
      <c r="M24" s="12" t="n"/>
      <c r="N24" s="13" t="n"/>
    </row>
    <row r="25" ht="46" customHeight="1" s="57">
      <c r="A25" s="8" t="inlineStr">
        <is>
          <t>R-24</t>
        </is>
      </c>
      <c r="B25" s="49" t="inlineStr">
        <is>
          <t>E. Equipos (manipulación de materiales)</t>
        </is>
      </c>
      <c r="C25" s="54" t="inlineStr">
        <is>
          <t>OPERADORES CERTIFICADOS. Matriz de operadores autorizados por tipo de equipo, con certificación y evaluación práctica vigentes, incluidos contratistas.</t>
        </is>
      </c>
      <c r="D25" s="47" t="inlineStr">
        <is>
          <t>Matriz de autorización y certificados.</t>
        </is>
      </c>
      <c r="E25" s="11" t="n">
        <v>3</v>
      </c>
      <c r="F25" s="11" t="n">
        <v>5</v>
      </c>
      <c r="G25" s="8">
        <f>IF(OR($E25="",$F25=""),"",$E25*$F25)</f>
        <v>15</v>
      </c>
      <c r="H25" s="8" t="str">
        <f>IF($G25="","",IF($G25&gt;=20,"Extremo",IF($G25&gt;=12,"Alto",IF($G25&gt;=6,"Medio",IF($G25&gt;=3,"Bajo","Muy bajo")))))</f>
        <v>Alto</v>
      </c>
      <c r="I25" s="54" t="str">
        <f>IFERROR(VLOOKUP($H25,'4. Escalas'!$A$21:$C$25,3,FALSE),"")</f>
        <v>Semanal + inspección formal mensual</v>
      </c>
      <c r="J25" s="10" t="inlineStr">
        <is>
          <t>Verificación mensual de la matriz · recertificación cada 3 años (OSHA 1910.178(l)(4))</t>
        </is>
      </c>
      <c r="K25" s="11" t="n"/>
      <c r="L25" s="12" t="n"/>
      <c r="M25" s="12" t="n"/>
      <c r="N25" s="13" t="n"/>
    </row>
    <row r="26" ht="48" customHeight="1" s="57">
      <c r="A26" s="8" t="inlineStr">
        <is>
          <t>R-25</t>
        </is>
      </c>
      <c r="B26" s="49" t="inlineStr">
        <is>
          <t>E. Equipos (manipulación de materiales)</t>
        </is>
      </c>
      <c r="C26" s="54" t="inlineStr">
        <is>
          <t>TRABAJO EN ALTURA CON EQUIPO. Prohibición de elevar personas en horquillas o estiba; canastilla certificada con arnés anclado y permiso de trabajo.</t>
        </is>
      </c>
      <c r="D26" s="47" t="inlineStr">
        <is>
          <t>Permiso de altura y certificación de la canastilla.</t>
        </is>
      </c>
      <c r="E26" s="11" t="n">
        <v>3</v>
      </c>
      <c r="F26" s="11" t="n">
        <v>5</v>
      </c>
      <c r="G26" s="8">
        <f>IF(OR($E26="",$F26=""),"",$E26*$F26)</f>
        <v>15</v>
      </c>
      <c r="H26" s="8" t="str">
        <f>IF($G26="","",IF($G26&gt;=20,"Extremo",IF($G26&gt;=12,"Alto",IF($G26&gt;=6,"Medio",IF($G26&gt;=3,"Bajo","Muy bajo")))))</f>
        <v>Alto</v>
      </c>
      <c r="I26" s="54" t="str">
        <f>IFERROR(VLOOKUP($H26,'4. Escalas'!$A$21:$C$25,3,FALSE),"")</f>
        <v>Semanal + inspección formal mensual</v>
      </c>
      <c r="J26" s="10" t="inlineStr">
        <is>
          <t>Cada tarea (permiso) · inspección de elementos de protección personal trimestral (Res. 1409 de 2012 / OSHA 1910.178(m))</t>
        </is>
      </c>
      <c r="K26" s="11" t="n"/>
      <c r="L26" s="12" t="n"/>
      <c r="M26" s="12" t="n"/>
      <c r="N26" s="13" t="n"/>
    </row>
    <row r="27" ht="48" customHeight="1" s="57">
      <c r="A27" s="8" t="inlineStr">
        <is>
          <t>R-26</t>
        </is>
      </c>
      <c r="B27" s="49" t="inlineStr">
        <is>
          <t>E. Equipos (manipulación de materiales)</t>
        </is>
      </c>
      <c r="C27" s="54" t="inlineStr">
        <is>
          <t>BATERÍAS Y COMBUSTIBLES. Sala de carga ventilada con ducha y lavaojos operativos y kit de derrame; zona dedicada y protocolo para litio; cilindros de gas propano (GLP) en área ventilada.</t>
        </is>
      </c>
      <c r="D27" s="47" t="inlineStr">
        <is>
          <t>Prueba de ducha/lavaojos y procedimiento de litio.</t>
        </is>
      </c>
      <c r="E27" s="11" t="n">
        <v>3</v>
      </c>
      <c r="F27" s="11" t="n">
        <v>5</v>
      </c>
      <c r="G27" s="8">
        <f>IF(OR($E27="",$F27=""),"",$E27*$F27)</f>
        <v>15</v>
      </c>
      <c r="H27" s="8" t="str">
        <f>IF($G27="","",IF($G27&gt;=20,"Extremo",IF($G27&gt;=12,"Alto",IF($G27&gt;=6,"Medio",IF($G27&gt;=3,"Bajo","Muy bajo")))))</f>
        <v>Alto</v>
      </c>
      <c r="I27" s="54" t="str">
        <f>IFERROR(VLOOKUP($H27,'4. Escalas'!$A$21:$C$25,3,FALSE),"")</f>
        <v>Semanal + inspección formal mensual</v>
      </c>
      <c r="J27" s="10" t="inlineStr">
        <is>
          <t>Mensual (NFPA 855 / NFPA 58 / OSHA 1910.178(g) / ANSI Z358.1)</t>
        </is>
      </c>
      <c r="K27" s="11" t="n"/>
      <c r="L27" s="12" t="n"/>
      <c r="M27" s="12" t="n"/>
      <c r="N27" s="13" t="n"/>
    </row>
    <row r="28" ht="48" customHeight="1" s="57">
      <c r="A28" s="8" t="inlineStr">
        <is>
          <t>R-27</t>
        </is>
      </c>
      <c r="B28" s="16" t="inlineStr">
        <is>
          <t>F. Incendio</t>
        </is>
      </c>
      <c r="C28" s="54" t="inlineStr">
        <is>
          <t>AGUA Y ROCIADORES. Válvulas de control abiertas y aseguradas, presiones correctas, bomba que arranca y tanque con su nivel.</t>
        </is>
      </c>
      <c r="D28" s="47" t="inlineStr">
        <is>
          <t>Registros NFPA 25 y permiso de sistema fuera de servicio.</t>
        </is>
      </c>
      <c r="E28" s="11" t="n">
        <v>2</v>
      </c>
      <c r="F28" s="11" t="n">
        <v>5</v>
      </c>
      <c r="G28" s="8">
        <f>IF(OR($E28="",$F28=""),"",$E28*$F28)</f>
        <v>10</v>
      </c>
      <c r="H28" s="8" t="str">
        <f>IF($G28="","",IF($G28&gt;=20,"Extremo",IF($G28&gt;=12,"Alto",IF($G28&gt;=6,"Medio",IF($G28&gt;=3,"Bajo","Muy bajo")))))</f>
        <v>Medio</v>
      </c>
      <c r="I28" s="54" t="str">
        <f>IFERROR(VLOOKUP($H28,'4. Escalas'!$A$21:$C$25,3,FALSE),"")</f>
        <v>Mensual (operativo) o trimestral (estructural)</v>
      </c>
      <c r="J28" s="10" t="inlineStr">
        <is>
          <t>Válvulas y manómetros semanal/mensual · bomba semanal · prueba de flujo anual · tubería interna cada 5 años (NFPA 25)</t>
        </is>
      </c>
      <c r="K28" s="11" t="n"/>
      <c r="L28" s="12" t="n"/>
      <c r="M28" s="12" t="n"/>
      <c r="N28" s="13" t="n"/>
    </row>
    <row r="29" ht="48" customHeight="1" s="57">
      <c r="A29" s="8" t="inlineStr">
        <is>
          <t>R-28</t>
        </is>
      </c>
      <c r="B29" s="16" t="inlineStr">
        <is>
          <t>F. Incendio</t>
        </is>
      </c>
      <c r="C29" s="54" t="inlineStr">
        <is>
          <t>DETECCIÓN, ALARMA E ILUMINACIÓN DE EMERGENCIA. Panel sin fallas, alarma audible en toda la bodega y luminarias de emergencia probadas.</t>
        </is>
      </c>
      <c r="D29" s="47" t="inlineStr">
        <is>
          <t>Certificado de prueba del sistema y registro de autonomía.</t>
        </is>
      </c>
      <c r="E29" s="11" t="n">
        <v>3</v>
      </c>
      <c r="F29" s="11" t="n">
        <v>5</v>
      </c>
      <c r="G29" s="8">
        <f>IF(OR($E29="",$F29=""),"",$E29*$F29)</f>
        <v>15</v>
      </c>
      <c r="H29" s="8" t="str">
        <f>IF($G29="","",IF($G29&gt;=20,"Extremo",IF($G29&gt;=12,"Alto",IF($G29&gt;=6,"Medio",IF($G29&gt;=3,"Bajo","Muy bajo")))))</f>
        <v>Alto</v>
      </c>
      <c r="I29" s="54" t="str">
        <f>IFERROR(VLOOKUP($H29,'4. Escalas'!$A$21:$C$25,3,FALSE),"")</f>
        <v>Semanal + inspección formal mensual</v>
      </c>
      <c r="J29" s="10" t="inlineStr">
        <is>
          <t>Panel mensual · prueba funcional semestral · certificación anual · autonomía 90 min anual (NFPA 72 / NFPA 101)</t>
        </is>
      </c>
      <c r="K29" s="11" t="n"/>
      <c r="L29" s="12" t="n"/>
      <c r="M29" s="12" t="n"/>
      <c r="N29" s="13" t="n"/>
    </row>
    <row r="30" ht="48" customHeight="1" s="57">
      <c r="A30" s="8" t="inlineStr">
        <is>
          <t>R-29</t>
        </is>
      </c>
      <c r="B30" s="16" t="inlineStr">
        <is>
          <t>F. Incendio</t>
        </is>
      </c>
      <c r="C30" s="54" t="inlineStr">
        <is>
          <t>EXTINTORES, GABINETES E HIDRANTES. Señalizados, accesibles, con presión, sello y recarga vigente; mangueras y válvulas operativas.</t>
        </is>
      </c>
      <c r="D30" s="47" t="inlineStr">
        <is>
          <t>Tarjeta de inspección mensual y certificado de recarga.</t>
        </is>
      </c>
      <c r="E30" s="11" t="n">
        <v>4</v>
      </c>
      <c r="F30" s="11" t="n">
        <v>3</v>
      </c>
      <c r="G30" s="8">
        <f>IF(OR($E30="",$F30=""),"",$E30*$F30)</f>
        <v>12</v>
      </c>
      <c r="H30" s="8" t="str">
        <f>IF($G30="","",IF($G30&gt;=20,"Extremo",IF($G30&gt;=12,"Alto",IF($G30&gt;=6,"Medio",IF($G30&gt;=3,"Bajo","Muy bajo")))))</f>
        <v>Alto</v>
      </c>
      <c r="I30" s="54" t="str">
        <f>IFERROR(VLOOKUP($H30,'4. Escalas'!$A$21:$C$25,3,FALSE),"")</f>
        <v>Semanal + inspección formal mensual</v>
      </c>
      <c r="J30" s="10" t="inlineStr">
        <is>
          <t>Extintores mensual + recarga anual (hidrostática 5-12 años) · gabinetes e hidrantes trimestral (NFPA 10 / 25 / NTC 2885)</t>
        </is>
      </c>
      <c r="K30" s="11" t="n"/>
      <c r="L30" s="12" t="n"/>
      <c r="M30" s="12" t="n"/>
      <c r="N30" s="13" t="n"/>
    </row>
    <row r="31" ht="46" customHeight="1" s="57">
      <c r="A31" s="8" t="inlineStr">
        <is>
          <t>R-30</t>
        </is>
      </c>
      <c r="B31" s="16" t="inlineStr">
        <is>
          <t>F. Incendio</t>
        </is>
      </c>
      <c r="C31" s="54" t="inlineStr">
        <is>
          <t>INFLAMABLES, AEROSOLES Y RESIDUOS. Cuarto o gabinete dedicado con cantidades máximas, dique y ventilación; patio de estibas separado del edificio y residuos evacuados.</t>
        </is>
      </c>
      <c r="D31" s="47" t="inlineStr">
        <is>
          <t>Inventario de sustancias y ronda de carga de fuego.</t>
        </is>
      </c>
      <c r="E31" s="11" t="n">
        <v>4</v>
      </c>
      <c r="F31" s="11" t="n">
        <v>5</v>
      </c>
      <c r="G31" s="8">
        <f>IF(OR($E31="",$F31=""),"",$E31*$F31)</f>
        <v>20</v>
      </c>
      <c r="H31" s="8" t="str">
        <f>IF($G31="","",IF($G31&gt;=20,"Extremo",IF($G31&gt;=12,"Alto",IF($G31&gt;=6,"Medio",IF($G31&gt;=3,"Bajo","Muy bajo")))))</f>
        <v>Extremo</v>
      </c>
      <c r="I31" s="54" t="str">
        <f>IFERROR(VLOOKUP($H31,'4. Escalas'!$A$21:$C$25,3,FALSE),"")</f>
        <v>Diaria o por turno + inspección formal semanal</v>
      </c>
      <c r="J31" s="10" t="inlineStr">
        <is>
          <t>Inflamables mensual · estibas y residuos semanal (NFPA 30 / 30B / 230 / FM DS 8-24)</t>
        </is>
      </c>
      <c r="K31" s="11" t="n"/>
      <c r="L31" s="12" t="n"/>
      <c r="M31" s="12" t="n"/>
      <c r="N31" s="13" t="n"/>
    </row>
    <row r="32" ht="48" customHeight="1" s="57">
      <c r="A32" s="8" t="inlineStr">
        <is>
          <t>R-31</t>
        </is>
      </c>
      <c r="B32" s="16" t="inlineStr">
        <is>
          <t>F. Incendio</t>
        </is>
      </c>
      <c r="C32" s="54" t="inlineStr">
        <is>
          <t>TRABAJOS EN CALIENTE E INSTALACIÓN ELÉCTRICA. Permiso con vigía de fuego y área despejada 11 m; sin extensiones improvisadas y tableros cerrados, rotulados y despejados.</t>
        </is>
      </c>
      <c r="D32" s="47" t="inlineStr">
        <is>
          <t>Permisos archivados e informe de termografía.</t>
        </is>
      </c>
      <c r="E32" s="11" t="n">
        <v>4</v>
      </c>
      <c r="F32" s="11" t="n">
        <v>5</v>
      </c>
      <c r="G32" s="8">
        <f>IF(OR($E32="",$F32=""),"",$E32*$F32)</f>
        <v>20</v>
      </c>
      <c r="H32" s="8" t="str">
        <f>IF($G32="","",IF($G32&gt;=20,"Extremo",IF($G32&gt;=12,"Alto",IF($G32&gt;=6,"Medio",IF($G32&gt;=3,"Bajo","Muy bajo")))))</f>
        <v>Extremo</v>
      </c>
      <c r="I32" s="54" t="str">
        <f>IFERROR(VLOOKUP($H32,'4. Escalas'!$A$21:$C$25,3,FALSE),"")</f>
        <v>Diaria o por turno + inspección formal semanal</v>
      </c>
      <c r="J32" s="10" t="inlineStr">
        <is>
          <t>Cada trabajo (permiso) · revisión eléctrica mensual · termografía anual (NFPA 51B / RETIE / NFPA 70B)</t>
        </is>
      </c>
      <c r="K32" s="11" t="n"/>
      <c r="L32" s="12" t="n"/>
      <c r="M32" s="12" t="n"/>
      <c r="N32" s="13" t="n"/>
    </row>
    <row r="33" ht="48" customHeight="1" s="57">
      <c r="A33" s="8" t="inlineStr">
        <is>
          <t>R-32</t>
        </is>
      </c>
      <c r="B33" s="16" t="inlineStr">
        <is>
          <t>F. Incendio</t>
        </is>
      </c>
      <c r="C33" s="54" t="inlineStr">
        <is>
          <t>EVACUACIÓN Y SIMULACROS. Salidas libres con apertura en sentido de evacuación, señalización fotoluminiscente, punto de encuentro y simulacros con todos los turnos.</t>
        </is>
      </c>
      <c r="D33" s="47" t="inlineStr">
        <is>
          <t>Acta de simulacro con evaluación.</t>
        </is>
      </c>
      <c r="E33" s="11" t="n">
        <v>3</v>
      </c>
      <c r="F33" s="11" t="n">
        <v>5</v>
      </c>
      <c r="G33" s="8">
        <f>IF(OR($E33="",$F33=""),"",$E33*$F33)</f>
        <v>15</v>
      </c>
      <c r="H33" s="8" t="str">
        <f>IF($G33="","",IF($G33&gt;=20,"Extremo",IF($G33&gt;=12,"Alto",IF($G33&gt;=6,"Medio",IF($G33&gt;=3,"Bajo","Muy bajo")))))</f>
        <v>Alto</v>
      </c>
      <c r="I33" s="54" t="str">
        <f>IFERROR(VLOOKUP($H33,'4. Escalas'!$A$21:$C$25,3,FALSE),"")</f>
        <v>Semanal + inspección formal mensual</v>
      </c>
      <c r="J33" s="10" t="inlineStr">
        <is>
          <t>Verificación diaria de salidas · simulacro semestral (mínimo anual) (NTC 1700 / NFPA 101 / Decreto 1072)</t>
        </is>
      </c>
      <c r="K33" s="11" t="n"/>
      <c r="L33" s="12" t="n"/>
      <c r="M33" s="12" t="n"/>
      <c r="N33" s="13" t="n"/>
    </row>
    <row r="34" ht="48" customHeight="1" s="57">
      <c r="A34" s="8" t="inlineStr">
        <is>
          <t>R-33</t>
        </is>
      </c>
      <c r="B34" s="16" t="inlineStr">
        <is>
          <t>F. Incendio</t>
        </is>
      </c>
      <c r="C34" s="54" t="inlineStr">
        <is>
          <t>BRIGADA Y PLAN DE EMERGENCIA. Brigadistas entrenados y disponibles por turno, plan actualizado y visita de reconocimiento de bomberos.</t>
        </is>
      </c>
      <c r="D34" s="47" t="inlineStr">
        <is>
          <t>Certificados de brigada y acta de visita.</t>
        </is>
      </c>
      <c r="E34" s="11" t="n">
        <v>3</v>
      </c>
      <c r="F34" s="11" t="n">
        <v>5</v>
      </c>
      <c r="G34" s="8">
        <f>IF(OR($E34="",$F34=""),"",$E34*$F34)</f>
        <v>15</v>
      </c>
      <c r="H34" s="8" t="str">
        <f>IF($G34="","",IF($G34&gt;=20,"Extremo",IF($G34&gt;=12,"Alto",IF($G34&gt;=6,"Medio",IF($G34&gt;=3,"Bajo","Muy bajo")))))</f>
        <v>Alto</v>
      </c>
      <c r="I34" s="54" t="str">
        <f>IFERROR(VLOOKUP($H34,'4. Escalas'!$A$21:$C$25,3,FALSE),"")</f>
        <v>Semanal + inspección formal mensual</v>
      </c>
      <c r="J34" s="10" t="inlineStr">
        <is>
          <t>Cobertura mensual · entrenamiento trimestral · actualización del plan anual (Decreto 1072 / NFPA 600 / 1600)</t>
        </is>
      </c>
      <c r="K34" s="11" t="n"/>
      <c r="L34" s="12" t="n"/>
      <c r="M34" s="12" t="n"/>
      <c r="N34" s="13" t="n"/>
    </row>
    <row r="35" ht="60" customHeight="1" s="57">
      <c r="A35" s="8" t="inlineStr">
        <is>
          <t>R-34</t>
        </is>
      </c>
      <c r="B35" s="17" t="inlineStr">
        <is>
          <t>G. Riesgos naturales</t>
        </is>
      </c>
      <c r="C35" s="54" t="inlineStr">
        <is>
          <t>SISMO. Diseño sísmico del edificio y de la estantería, anclajes, retención de carga en niveles altos y protocolo de inspección obligatoria antes de reingresar tras un sismo.</t>
        </is>
      </c>
      <c r="D35" s="47" t="inlineStr">
        <is>
          <t>Estudio de vulnerabilidad y procedimiento post-evento.</t>
        </is>
      </c>
      <c r="E35" s="11" t="n">
        <v>2</v>
      </c>
      <c r="F35" s="11" t="n">
        <v>5</v>
      </c>
      <c r="G35" s="8">
        <f>IF(OR($E35="",$F35=""),"",$E35*$F35)</f>
        <v>10</v>
      </c>
      <c r="H35" s="8" t="str">
        <f>IF($G35="","",IF($G35&gt;=20,"Extremo",IF($G35&gt;=12,"Alto",IF($G35&gt;=6,"Medio",IF($G35&gt;=3,"Bajo","Muy bajo")))))</f>
        <v>Medio</v>
      </c>
      <c r="I35" s="54" t="str">
        <f>IFERROR(VLOOKUP($H35,'4. Escalas'!$A$21:$C$25,3,FALSE),"")</f>
        <v>Mensual (operativo) o trimestral (estructural)</v>
      </c>
      <c r="J35" s="10" t="inlineStr">
        <is>
          <t>Vulnerabilidad cada 1-3 años · retención de carga anual · inspección inmediata tras cada sismo (NSR-10 / ASCE 7 / FEM 10.2.08)</t>
        </is>
      </c>
      <c r="K35" s="11" t="n"/>
      <c r="L35" s="12" t="n"/>
      <c r="M35" s="12" t="n"/>
      <c r="N35" s="13" t="n"/>
    </row>
    <row r="36" ht="46" customHeight="1" s="57">
      <c r="A36" s="8" t="inlineStr">
        <is>
          <t>R-35</t>
        </is>
      </c>
      <c r="B36" s="17" t="inlineStr">
        <is>
          <t>G. Riesgos naturales</t>
        </is>
      </c>
      <c r="C36" s="54" t="inlineStr">
        <is>
          <t>AGUA Y VIENTO. Capacidad de drenaje y drenajes de emergencia, fijaciones de cubierta, elementos sueltos en patio y producto sensible fuera del piso en zona inundable.</t>
        </is>
      </c>
      <c r="D36" s="47" t="inlineStr">
        <is>
          <t>Mapa de amenaza y checklist pre-temporada.</t>
        </is>
      </c>
      <c r="E36" s="11" t="n">
        <v>3</v>
      </c>
      <c r="F36" s="11" t="n">
        <v>5</v>
      </c>
      <c r="G36" s="8">
        <f>IF(OR($E36="",$F36=""),"",$E36*$F36)</f>
        <v>15</v>
      </c>
      <c r="H36" s="8" t="str">
        <f>IF($G36="","",IF($G36&gt;=20,"Extremo",IF($G36&gt;=12,"Alto",IF($G36&gt;=6,"Medio",IF($G36&gt;=3,"Bajo","Muy bajo")))))</f>
        <v>Alto</v>
      </c>
      <c r="I36" s="54" t="str">
        <f>IFERROR(VLOOKUP($H36,'4. Escalas'!$A$21:$C$25,3,FALSE),"")</f>
        <v>Semanal + inspección formal mensual</v>
      </c>
      <c r="J36" s="10" t="inlineStr">
        <is>
          <t>Semestral y obligatorio antes de temporada de lluvias y vientos (FM DS 1-54 / ASCE 7)</t>
        </is>
      </c>
      <c r="K36" s="11" t="n"/>
      <c r="L36" s="12" t="n"/>
      <c r="M36" s="12" t="n"/>
      <c r="N36" s="13" t="n"/>
    </row>
    <row r="37" ht="46" customHeight="1" s="57">
      <c r="A37" s="8" t="inlineStr">
        <is>
          <t>R-36</t>
        </is>
      </c>
      <c r="B37" s="17" t="inlineStr">
        <is>
          <t>G. Riesgos naturales</t>
        </is>
      </c>
      <c r="C37" s="54" t="inlineStr">
        <is>
          <t>ENTORNO, RAYOS Y RESPUESTA EXTERNA. Actividades peligrosas colindantes, sistema de protección contra rayos y puesta a tierra, y acceso y tiempo de respuesta de bomberos.</t>
        </is>
      </c>
      <c r="D37" s="47" t="inlineStr">
        <is>
          <t>Medición de resistencia de tierra y acta de bomberos.</t>
        </is>
      </c>
      <c r="E37" s="11" t="n">
        <v>2</v>
      </c>
      <c r="F37" s="11" t="n">
        <v>5</v>
      </c>
      <c r="G37" s="8">
        <f>IF(OR($E37="",$F37=""),"",$E37*$F37)</f>
        <v>10</v>
      </c>
      <c r="H37" s="8" t="str">
        <f>IF($G37="","",IF($G37&gt;=20,"Extremo",IF($G37&gt;=12,"Alto",IF($G37&gt;=6,"Medio",IF($G37&gt;=3,"Bajo","Muy bajo")))))</f>
        <v>Medio</v>
      </c>
      <c r="I37" s="54" t="str">
        <f>IFERROR(VLOOKUP($H37,'4. Escalas'!$A$21:$C$25,3,FALSE),"")</f>
        <v>Mensual (operativo) o trimestral (estructural)</v>
      </c>
      <c r="J37" s="10" t="inlineStr">
        <is>
          <t>Anual (RETIE / NTC 4552 / NFPA 780 / NFPA 1)</t>
        </is>
      </c>
      <c r="K37" s="11" t="n"/>
      <c r="L37" s="12" t="n"/>
      <c r="M37" s="12" t="n"/>
      <c r="N37" s="13" t="n"/>
    </row>
    <row r="38" ht="48" customHeight="1" s="57">
      <c r="A38" s="8" t="inlineStr">
        <is>
          <t>R-37</t>
        </is>
      </c>
      <c r="B38" s="18" t="inlineStr">
        <is>
          <t>H. Eléctrico y servicios</t>
        </is>
      </c>
      <c r="C38" s="54" t="inlineStr">
        <is>
          <t>INSTALACIÓN ELÉCTRICA Y SUBESTACIÓN. Termografía con carga y cierre de anomalías, tableros cerrados y despejados (1 m libre), y mantenimiento de subestación con análisis de aceite.</t>
        </is>
      </c>
      <c r="D38" s="47" t="inlineStr">
        <is>
          <t>Informe termográfico y certificado RETIE.</t>
        </is>
      </c>
      <c r="E38" s="11" t="n">
        <v>3</v>
      </c>
      <c r="F38" s="11" t="n">
        <v>5</v>
      </c>
      <c r="G38" s="8">
        <f>IF(OR($E38="",$F38=""),"",$E38*$F38)</f>
        <v>15</v>
      </c>
      <c r="H38" s="8" t="str">
        <f>IF($G38="","",IF($G38&gt;=20,"Extremo",IF($G38&gt;=12,"Alto",IF($G38&gt;=6,"Medio",IF($G38&gt;=3,"Bajo","Muy bajo")))))</f>
        <v>Alto</v>
      </c>
      <c r="I38" s="54" t="str">
        <f>IFERROR(VLOOKUP($H38,'4. Escalas'!$A$21:$C$25,3,FALSE),"")</f>
        <v>Semanal + inspección formal mensual</v>
      </c>
      <c r="J38" s="10" t="inlineStr">
        <is>
          <t>Visual trimestral · termografía anual (semestral en tableros críticos) · subestación anual (RETIE / NFPA 70B / NETA)</t>
        </is>
      </c>
      <c r="K38" s="11" t="n"/>
      <c r="L38" s="12" t="n"/>
      <c r="M38" s="12" t="n"/>
      <c r="N38" s="13" t="n"/>
    </row>
    <row r="39" ht="48" customHeight="1" s="57">
      <c r="A39" s="8" t="inlineStr">
        <is>
          <t>R-38</t>
        </is>
      </c>
      <c r="B39" s="18" t="inlineStr">
        <is>
          <t>H. Eléctrico y servicios</t>
        </is>
      </c>
      <c r="C39" s="54" t="inlineStr">
        <is>
          <t>RESPALDO DE ENERGÍA Y REFRIGERACIÓN. Planta probada con carga, autonomía y cobertura de circuitos críticos; detección de fuga y mantenimiento del sistema de frío.</t>
        </is>
      </c>
      <c r="D39" s="47" t="inlineStr">
        <is>
          <t>Registro de pruebas e inventario de circuitos respaldados.</t>
        </is>
      </c>
      <c r="E39" s="11" t="n">
        <v>3</v>
      </c>
      <c r="F39" s="11" t="n">
        <v>4</v>
      </c>
      <c r="G39" s="8">
        <f>IF(OR($E39="",$F39=""),"",$E39*$F39)</f>
        <v>12</v>
      </c>
      <c r="H39" s="8" t="str">
        <f>IF($G39="","",IF($G39&gt;=20,"Extremo",IF($G39&gt;=12,"Alto",IF($G39&gt;=6,"Medio",IF($G39&gt;=3,"Bajo","Muy bajo")))))</f>
        <v>Alto</v>
      </c>
      <c r="I39" s="54" t="str">
        <f>IFERROR(VLOOKUP($H39,'4. Escalas'!$A$21:$C$25,3,FALSE),"")</f>
        <v>Semanal + inspección formal mensual</v>
      </c>
      <c r="J39" s="10" t="inlineStr">
        <is>
          <t>Planta mensual con carga · refrigeración mensual · mantenimiento semestral (NFPA 110 / IIAR / ASHRAE 15)</t>
        </is>
      </c>
      <c r="K39" s="11" t="n"/>
      <c r="L39" s="12" t="n"/>
      <c r="M39" s="12" t="n"/>
      <c r="N39" s="13" t="n"/>
    </row>
    <row r="40" ht="48" customHeight="1" s="57">
      <c r="A40" s="8" t="inlineStr">
        <is>
          <t>R-39</t>
        </is>
      </c>
      <c r="B40" s="19" t="inlineStr">
        <is>
          <t>I. Seguridad física</t>
        </is>
      </c>
      <c r="C40" s="54" t="inlineStr">
        <is>
          <t>HURTO INTERNO Y PÉRDIDA DESCONOCIDA. Conteos cíclicos, control de salida de personal y vehículos, jaula de alto valor y análisis de los ajustes de inventario.</t>
        </is>
      </c>
      <c r="D40" s="47" t="inlineStr">
        <is>
          <t>Indicador de pérdida desconocida e investigaciones.</t>
        </is>
      </c>
      <c r="E40" s="11" t="n">
        <v>4</v>
      </c>
      <c r="F40" s="11" t="n">
        <v>4</v>
      </c>
      <c r="G40" s="8">
        <f>IF(OR($E40="",$F40=""),"",$E40*$F40)</f>
        <v>16</v>
      </c>
      <c r="H40" s="8" t="str">
        <f>IF($G40="","",IF($G40&gt;=20,"Extremo",IF($G40&gt;=12,"Alto",IF($G40&gt;=6,"Medio",IF($G40&gt;=3,"Bajo","Muy bajo")))))</f>
        <v>Alto</v>
      </c>
      <c r="I40" s="54" t="str">
        <f>IFERROR(VLOOKUP($H40,'4. Escalas'!$A$21:$C$25,3,FALSE),"")</f>
        <v>Semanal + inspección formal mensual</v>
      </c>
      <c r="J40" s="10" t="inlineStr">
        <is>
          <t>Conteos cíclicos diarios y semanales · auditoría de seguridad trimestral (ISO 28000 / BASC)</t>
        </is>
      </c>
      <c r="K40" s="11" t="n"/>
      <c r="L40" s="12" t="n"/>
      <c r="M40" s="12" t="n"/>
      <c r="N40" s="13" t="n"/>
    </row>
    <row r="41" ht="48" customHeight="1" s="57">
      <c r="A41" s="8" t="inlineStr">
        <is>
          <t>R-40</t>
        </is>
      </c>
      <c r="B41" s="19" t="inlineStr">
        <is>
          <t>I. Seguridad física</t>
        </is>
      </c>
      <c r="C41" s="54" t="inlineStr">
        <is>
          <t>CONTROL DE ACCESO Y CÁMARAS DE SEGURIDAD. Registro e identificación de visitantes, contratistas y conductores; cobertura de las cámaras en puntos críticos, calidad de imagen y tiempo de retención del video.</t>
        </is>
      </c>
      <c r="D41" s="47" t="inlineStr">
        <is>
          <t>Bitácora de portería y prueba de recuperación de video.</t>
        </is>
      </c>
      <c r="E41" s="11" t="n">
        <v>3</v>
      </c>
      <c r="F41" s="11" t="n">
        <v>4</v>
      </c>
      <c r="G41" s="8">
        <f>IF(OR($E41="",$F41=""),"",$E41*$F41)</f>
        <v>12</v>
      </c>
      <c r="H41" s="8" t="str">
        <f>IF($G41="","",IF($G41&gt;=20,"Extremo",IF($G41&gt;=12,"Alto",IF($G41&gt;=6,"Medio",IF($G41&gt;=3,"Bajo","Muy bajo")))))</f>
        <v>Alto</v>
      </c>
      <c r="I41" s="54" t="str">
        <f>IFERROR(VLOOKUP($H41,'4. Escalas'!$A$21:$C$25,3,FALSE),"")</f>
        <v>Semanal + inspección formal mensual</v>
      </c>
      <c r="J41" s="10" t="inlineStr">
        <is>
          <t>Verificación diaria del acceso · revisión de cámaras de seguridad (CCTV) mensual (BASC / OEA / requisitos del cliente)</t>
        </is>
      </c>
      <c r="K41" s="11" t="n"/>
      <c r="L41" s="12" t="n"/>
      <c r="M41" s="12" t="n"/>
      <c r="N41" s="13" t="n"/>
    </row>
    <row r="42" ht="46" customHeight="1" s="57">
      <c r="A42" s="8" t="inlineStr">
        <is>
          <t>R-41</t>
        </is>
      </c>
      <c r="B42" s="19" t="inlineStr">
        <is>
          <t>I. Seguridad física</t>
        </is>
      </c>
      <c r="C42" s="54" t="inlineStr">
        <is>
          <t>PERÍMETRO Y AMENAZA DE ASALTO. Cerramiento íntegro, iluminación y franja libre; protocolo antiasalto, botón de pánico y coordinación con la policía.</t>
        </is>
      </c>
      <c r="D42" s="47" t="inlineStr">
        <is>
          <t>Informe de recorrido perimetral y estudio de amenaza.</t>
        </is>
      </c>
      <c r="E42" s="11" t="n">
        <v>2</v>
      </c>
      <c r="F42" s="11" t="n">
        <v>5</v>
      </c>
      <c r="G42" s="8">
        <f>IF(OR($E42="",$F42=""),"",$E42*$F42)</f>
        <v>10</v>
      </c>
      <c r="H42" s="8" t="str">
        <f>IF($G42="","",IF($G42&gt;=20,"Extremo",IF($G42&gt;=12,"Alto",IF($G42&gt;=6,"Medio",IF($G42&gt;=3,"Bajo","Muy bajo")))))</f>
        <v>Medio</v>
      </c>
      <c r="I42" s="54" t="str">
        <f>IFERROR(VLOOKUP($H42,'4. Escalas'!$A$21:$C$25,3,FALSE),"")</f>
        <v>Mensual (operativo) o trimestral (estructural)</v>
      </c>
      <c r="J42" s="10" t="inlineStr">
        <is>
          <t>Recorrido perimetral trimestral · análisis de amenaza semestral (ISO 28000)</t>
        </is>
      </c>
      <c r="K42" s="11" t="n"/>
      <c r="L42" s="12" t="n"/>
      <c r="M42" s="12" t="n"/>
      <c r="N42" s="13" t="n"/>
    </row>
    <row r="43" ht="48" customHeight="1" s="57">
      <c r="A43" s="8" t="inlineStr">
        <is>
          <t>R-42</t>
        </is>
      </c>
      <c r="B43" s="19" t="inlineStr">
        <is>
          <t>I. Seguridad física</t>
        </is>
      </c>
      <c r="C43" s="54" t="inlineStr">
        <is>
          <t>PROTECCIÓN DE LA CARGA. Inspección del contenedor antes del cargue, control y trazabilidad de sellos de alta seguridad y validación de identidad del conductor contra la programación.</t>
        </is>
      </c>
      <c r="D43" s="47" t="inlineStr">
        <is>
          <t>Formato de inspección y bitácora de sellos.</t>
        </is>
      </c>
      <c r="E43" s="11" t="n">
        <v>2</v>
      </c>
      <c r="F43" s="11" t="n">
        <v>5</v>
      </c>
      <c r="G43" s="8">
        <f>IF(OR($E43="",$F43=""),"",$E43*$F43)</f>
        <v>10</v>
      </c>
      <c r="H43" s="8" t="str">
        <f>IF($G43="","",IF($G43&gt;=20,"Extremo",IF($G43&gt;=12,"Alto",IF($G43&gt;=6,"Medio",IF($G43&gt;=3,"Bajo","Muy bajo")))))</f>
        <v>Medio</v>
      </c>
      <c r="I43" s="54" t="str">
        <f>IFERROR(VLOOKUP($H43,'4. Escalas'!$A$21:$C$25,3,FALSE),"")</f>
        <v>Mensual (operativo) o trimestral (estructural)</v>
      </c>
      <c r="J43" s="10" t="inlineStr">
        <is>
          <t>En cada despacho · auditoría del programa trimestral · certificación anual (BASC / OEA / C-TPAT / ISO 17712)</t>
        </is>
      </c>
      <c r="K43" s="11" t="n"/>
      <c r="L43" s="12" t="n"/>
      <c r="M43" s="12" t="n"/>
      <c r="N43" s="13" t="n"/>
    </row>
    <row r="44" ht="48" customHeight="1" s="57">
      <c r="A44" s="8" t="inlineStr">
        <is>
          <t>R-43</t>
        </is>
      </c>
      <c r="B44" s="20" t="inlineStr">
        <is>
          <t>J. Tecnología</t>
        </is>
      </c>
      <c r="C44" s="46" t="inlineStr">
        <is>
          <t>DISPONIBILIDAD DEL SISTEMA DE GESTIÓN DE BODEGA (WMS / EWM). Esquema de respaldo y alta disponibilidad, procedimiento manual de contingencia probado y cobertura de radiofrecuencia sin zonas muertas.</t>
        </is>
      </c>
      <c r="D44" s="47" t="inlineStr">
        <is>
          <t>Acta de prueba de contingencia y estudio de cobertura.</t>
        </is>
      </c>
      <c r="E44" s="11" t="n">
        <v>3</v>
      </c>
      <c r="F44" s="11" t="n">
        <v>5</v>
      </c>
      <c r="G44" s="8">
        <f>IF(OR($E44="",$F44=""),"",$E44*$F44)</f>
        <v>15</v>
      </c>
      <c r="H44" s="8" t="str">
        <f>IF($G44="","",IF($G44&gt;=20,"Extremo",IF($G44&gt;=12,"Alto",IF($G44&gt;=6,"Medio",IF($G44&gt;=3,"Bajo","Muy bajo")))))</f>
        <v>Alto</v>
      </c>
      <c r="I44" s="54" t="str">
        <f>IFERROR(VLOOKUP($H44,'4. Escalas'!$A$21:$C$25,3,FALSE),"")</f>
        <v>Semanal + inspección formal mensual</v>
      </c>
      <c r="J44" s="10" t="inlineStr">
        <is>
          <t>Prueba del plan de contingencia semestral · cobertura de radiofrecuencia semestral (ISO 22301)</t>
        </is>
      </c>
      <c r="K44" s="11" t="n"/>
      <c r="L44" s="12" t="n"/>
      <c r="M44" s="12" t="n"/>
      <c r="N44" s="13" t="n"/>
    </row>
    <row r="45" ht="48" customHeight="1" s="57">
      <c r="A45" s="8" t="inlineStr">
        <is>
          <t>R-44</t>
        </is>
      </c>
      <c r="B45" s="20" t="inlineStr">
        <is>
          <t>J. Tecnología</t>
        </is>
      </c>
      <c r="C45" s="54" t="inlineStr">
        <is>
          <t>CIBERSEGURIDAD Y RESPALDO DE DATOS. Respaldo probado (regla 3-2-1), segmentación de red, control de accesos con doble factor, parches y retención de registros de trazabilidad.</t>
        </is>
      </c>
      <c r="D45" s="47" t="inlineStr">
        <is>
          <t>Acta de restauración e informe de vulnerabilidades.</t>
        </is>
      </c>
      <c r="E45" s="11" t="n">
        <v>3</v>
      </c>
      <c r="F45" s="11" t="n">
        <v>5</v>
      </c>
      <c r="G45" s="8">
        <f>IF(OR($E45="",$F45=""),"",$E45*$F45)</f>
        <v>15</v>
      </c>
      <c r="H45" s="8" t="str">
        <f>IF($G45="","",IF($G45&gt;=20,"Extremo",IF($G45&gt;=12,"Alto",IF($G45&gt;=6,"Medio",IF($G45&gt;=3,"Bajo","Muy bajo")))))</f>
        <v>Alto</v>
      </c>
      <c r="I45" s="54" t="str">
        <f>IFERROR(VLOOKUP($H45,'4. Escalas'!$A$21:$C$25,3,FALSE),"")</f>
        <v>Semanal + inspección formal mensual</v>
      </c>
      <c r="J45" s="10" t="inlineStr">
        <is>
          <t>Restauración de respaldo trimestral · vulnerabilidades semestral · prueba de intrusión anual (ISO 27001 / NIST CSF)</t>
        </is>
      </c>
      <c r="K45" s="11" t="n"/>
      <c r="L45" s="12" t="n"/>
      <c r="M45" s="12" t="n"/>
      <c r="N45" s="13" t="n"/>
    </row>
    <row r="46" ht="48" customHeight="1" s="57">
      <c r="A46" s="8" t="inlineStr">
        <is>
          <t>R-45</t>
        </is>
      </c>
      <c r="B46" s="21" t="inlineStr">
        <is>
          <t>K. Personas (SST)</t>
        </is>
      </c>
      <c r="C46" s="54" t="inlineStr">
        <is>
          <t>ERGONOMÍA Y MANIPULACIÓN MANUAL. Matriz de riesgo por puesto, límites de peso, ayudas mecánicas, alturas de preparación de pedidos y pausas activas.</t>
        </is>
      </c>
      <c r="D46" s="47" t="inlineStr">
        <is>
          <t>Evaluación ergonómica y programa de vigilancia epidemiológica.</t>
        </is>
      </c>
      <c r="E46" s="11" t="n">
        <v>4</v>
      </c>
      <c r="F46" s="11" t="n">
        <v>3</v>
      </c>
      <c r="G46" s="8">
        <f>IF(OR($E46="",$F46=""),"",$E46*$F46)</f>
        <v>12</v>
      </c>
      <c r="H46" s="8" t="str">
        <f>IF($G46="","",IF($G46&gt;=20,"Extremo",IF($G46&gt;=12,"Alto",IF($G46&gt;=6,"Medio",IF($G46&gt;=3,"Bajo","Muy bajo")))))</f>
        <v>Alto</v>
      </c>
      <c r="I46" s="54" t="str">
        <f>IFERROR(VLOOKUP($H46,'4. Escalas'!$A$21:$C$25,3,FALSE),"")</f>
        <v>Semanal + inspección formal mensual</v>
      </c>
      <c r="J46" s="10" t="inlineStr">
        <is>
          <t>Evaluación anual · seguimiento del programa semestral · observación mensual (ISO 11228 / NIOSH / Res. 2400)</t>
        </is>
      </c>
      <c r="K46" s="11" t="n"/>
      <c r="L46" s="12" t="n"/>
      <c r="M46" s="12" t="n"/>
      <c r="N46" s="13" t="n"/>
    </row>
    <row r="47" ht="46" customHeight="1" s="57">
      <c r="A47" s="8" t="inlineStr">
        <is>
          <t>R-46</t>
        </is>
      </c>
      <c r="B47" s="21" t="inlineStr">
        <is>
          <t>K. Personas (SST)</t>
        </is>
      </c>
      <c r="C47" s="54" t="inlineStr">
        <is>
          <t>CAÍDAS AL MISMO NIVEL Y ORDEN. Piso libre de film, zunchos y cables, derrames atendidos de inmediato y señalización de piso húmedo disponible.</t>
        </is>
      </c>
      <c r="D47" s="47" t="inlineStr">
        <is>
          <t>Ronda de orden y aseo, y reporte de condiciones inseguras.</t>
        </is>
      </c>
      <c r="E47" s="11" t="n">
        <v>4</v>
      </c>
      <c r="F47" s="11" t="n">
        <v>3</v>
      </c>
      <c r="G47" s="8">
        <f>IF(OR($E47="",$F47=""),"",$E47*$F47)</f>
        <v>12</v>
      </c>
      <c r="H47" s="8" t="str">
        <f>IF($G47="","",IF($G47&gt;=20,"Extremo",IF($G47&gt;=12,"Alto",IF($G47&gt;=6,"Medio",IF($G47&gt;=3,"Bajo","Muy bajo")))))</f>
        <v>Alto</v>
      </c>
      <c r="I47" s="54" t="str">
        <f>IFERROR(VLOOKUP($H47,'4. Escalas'!$A$21:$C$25,3,FALSE),"")</f>
        <v>Semanal + inspección formal mensual</v>
      </c>
      <c r="J47" s="10" t="inlineStr">
        <is>
          <t>Ronda diaria (SG-SST / OSHA 1910.22)</t>
        </is>
      </c>
      <c r="K47" s="11" t="n"/>
      <c r="L47" s="12" t="n"/>
      <c r="M47" s="12" t="n"/>
      <c r="N47" s="13" t="n"/>
    </row>
    <row r="48" ht="60" customHeight="1" s="57">
      <c r="A48" s="8" t="inlineStr">
        <is>
          <t>R-47</t>
        </is>
      </c>
      <c r="B48" s="21" t="inlineStr">
        <is>
          <t>K. Personas (SST)</t>
        </is>
      </c>
      <c r="C48" s="54" t="inlineStr">
        <is>
          <t>TRABAJO EN ALTURA. Permiso por tarea, personal certificado, puntos de anclaje con memoria de cálculo y arneses inspeccionados.</t>
        </is>
      </c>
      <c r="D48" s="47" t="inlineStr">
        <is>
          <t>Permisos, certificados e inspección de elementos de protección personal.</t>
        </is>
      </c>
      <c r="E48" s="11" t="n">
        <v>3</v>
      </c>
      <c r="F48" s="11" t="n">
        <v>5</v>
      </c>
      <c r="G48" s="8">
        <f>IF(OR($E48="",$F48=""),"",$E48*$F48)</f>
        <v>15</v>
      </c>
      <c r="H48" s="8" t="str">
        <f>IF($G48="","",IF($G48&gt;=20,"Extremo",IF($G48&gt;=12,"Alto",IF($G48&gt;=6,"Medio",IF($G48&gt;=3,"Bajo","Muy bajo")))))</f>
        <v>Alto</v>
      </c>
      <c r="I48" s="54" t="str">
        <f>IFERROR(VLOOKUP($H48,'4. Escalas'!$A$21:$C$25,3,FALSE),"")</f>
        <v>Semanal + inspección formal mensual</v>
      </c>
      <c r="J48" s="10" t="inlineStr">
        <is>
          <t>Cada tarea (permiso) · inspección de elementos de protección personal trimestral · recertificación del personal según norma (Res. 1409 de 2012)</t>
        </is>
      </c>
      <c r="K48" s="11" t="n"/>
      <c r="L48" s="12" t="n"/>
      <c r="M48" s="12" t="n"/>
      <c r="N48" s="13" t="n"/>
    </row>
    <row r="49" ht="46" customHeight="1" s="57">
      <c r="A49" s="8" t="inlineStr">
        <is>
          <t>R-48</t>
        </is>
      </c>
      <c r="B49" s="21" t="inlineStr">
        <is>
          <t>K. Personas (SST)</t>
        </is>
      </c>
      <c r="C49" s="54" t="inlineStr">
        <is>
          <t>INDUCCIÓN, ROTACIÓN Y FATIGA. Inducción documentada antes de entrar a piso para personal nuevo, temporal y contratista; control de horas extra y descansos.</t>
        </is>
      </c>
      <c r="D49" s="47" t="inlineStr">
        <is>
          <t>Registros de inducción y reporte de horas extra.</t>
        </is>
      </c>
      <c r="E49" s="11" t="n">
        <v>4</v>
      </c>
      <c r="F49" s="11" t="n">
        <v>4</v>
      </c>
      <c r="G49" s="8">
        <f>IF(OR($E49="",$F49=""),"",$E49*$F49)</f>
        <v>16</v>
      </c>
      <c r="H49" s="8" t="str">
        <f>IF($G49="","",IF($G49&gt;=20,"Extremo",IF($G49&gt;=12,"Alto",IF($G49&gt;=6,"Medio",IF($G49&gt;=3,"Bajo","Muy bajo")))))</f>
        <v>Alto</v>
      </c>
      <c r="I49" s="54" t="str">
        <f>IFERROR(VLOOKUP($H49,'4. Escalas'!$A$21:$C$25,3,FALSE),"")</f>
        <v>Semanal + inspección formal mensual</v>
      </c>
      <c r="J49" s="10" t="inlineStr">
        <is>
          <t>En cada ingreso · verificación mensual del cumplimiento (Decreto 1072 de 2015)</t>
        </is>
      </c>
      <c r="K49" s="11" t="n"/>
      <c r="L49" s="12" t="n"/>
      <c r="M49" s="12" t="n"/>
      <c r="N49" s="13" t="n"/>
    </row>
    <row r="50" ht="48" customHeight="1" s="57">
      <c r="A50" s="8" t="inlineStr">
        <is>
          <t>R-49</t>
        </is>
      </c>
      <c r="B50" s="21" t="inlineStr">
        <is>
          <t>K. Personas (SST)</t>
        </is>
      </c>
      <c r="C50" s="54" t="inlineStr">
        <is>
          <t>HIGIENE, TEMPERATURA Y ATENCIÓN MÉDICA. Mediciones higiénicas vigentes, control de exposición a frío y calor, permiso para espacios confinados y contenedores fumigados, y botiquines y camillas por turno.</t>
        </is>
      </c>
      <c r="D50" s="47" t="inlineStr">
        <is>
          <t>Informes higiénicos y certificados de primeros auxilios.</t>
        </is>
      </c>
      <c r="E50" s="11" t="n">
        <v>3</v>
      </c>
      <c r="F50" s="11" t="n">
        <v>3</v>
      </c>
      <c r="G50" s="8">
        <f>IF(OR($E50="",$F50=""),"",$E50*$F50)</f>
        <v>9</v>
      </c>
      <c r="H50" s="8" t="str">
        <f>IF($G50="","",IF($G50&gt;=20,"Extremo",IF($G50&gt;=12,"Alto",IF($G50&gt;=6,"Medio",IF($G50&gt;=3,"Bajo","Muy bajo")))))</f>
        <v>Medio</v>
      </c>
      <c r="I50" s="54" t="str">
        <f>IFERROR(VLOOKUP($H50,'4. Escalas'!$A$21:$C$25,3,FALSE),"")</f>
        <v>Mensual (operativo) o trimestral (estructural)</v>
      </c>
      <c r="J50" s="10" t="inlineStr">
        <is>
          <t>Mediciones cada 1-2 años · botiquines mensual · confinados en cada tarea (Res. 0312 de 2019 / Res. 0491 de 2020)</t>
        </is>
      </c>
      <c r="K50" s="11" t="n"/>
      <c r="L50" s="12" t="n"/>
      <c r="M50" s="12" t="n"/>
      <c r="N50" s="13" t="n"/>
    </row>
    <row r="51" ht="48" customHeight="1" s="57">
      <c r="A51" s="8" t="inlineStr">
        <is>
          <t>R-50</t>
        </is>
      </c>
      <c r="B51" s="22" t="inlineStr">
        <is>
          <t>L. Producto y calidad</t>
        </is>
      </c>
      <c r="C51" s="44" t="inlineStr">
        <is>
          <t>CADENA DE FRÍO. Monitoreo continuo con alarma, sensores calibrados, tiempo máximo en muelle y plan de contingencia ante falla del equipo o de la energía.</t>
        </is>
      </c>
      <c r="D51" s="47" t="inlineStr">
        <is>
          <t>Registros de temperatura y certificados de calibración.</t>
        </is>
      </c>
      <c r="E51" s="11" t="n">
        <v>3</v>
      </c>
      <c r="F51" s="11" t="n">
        <v>5</v>
      </c>
      <c r="G51" s="8">
        <f>IF(OR($E51="",$F51=""),"",$E51*$F51)</f>
        <v>15</v>
      </c>
      <c r="H51" s="8" t="str">
        <f>IF($G51="","",IF($G51&gt;=20,"Extremo",IF($G51&gt;=12,"Alto",IF($G51&gt;=6,"Medio",IF($G51&gt;=3,"Bajo","Muy bajo")))))</f>
        <v>Alto</v>
      </c>
      <c r="I51" s="54" t="str">
        <f>IFERROR(VLOOKUP($H51,'4. Escalas'!$A$21:$C$25,3,FALSE),"")</f>
        <v>Semanal + inspección formal mensual</v>
      </c>
      <c r="J51" s="10" t="inlineStr">
        <is>
          <t>Monitoreo continuo con revisión diaria · calibración anual · mantenimiento mensual (BPM / HACCP / GDP)</t>
        </is>
      </c>
      <c r="K51" s="11" t="n"/>
      <c r="L51" s="12" t="n"/>
      <c r="M51" s="12" t="n"/>
      <c r="N51" s="13" t="n"/>
    </row>
    <row r="52" ht="48" customHeight="1" s="57">
      <c r="A52" s="8" t="inlineStr">
        <is>
          <t>R-51</t>
        </is>
      </c>
      <c r="B52" s="22" t="inlineStr">
        <is>
          <t>L. Producto y calidad</t>
        </is>
      </c>
      <c r="C52" s="46" t="inlineStr">
        <is>
          <t>PLAGAS Y CONDICIONES DE ALMACENAMIENTO. Programa de manejo integrado de plagas con mapa de estaciones y tendencia de capturas, accesos sellados, producto sobre estiba y separado de muros, y humedad controlada.</t>
        </is>
      </c>
      <c r="D52" s="47" t="inlineStr">
        <is>
          <t>Informe mensual del proveedor de control de plagas.</t>
        </is>
      </c>
      <c r="E52" s="11" t="n">
        <v>3</v>
      </c>
      <c r="F52" s="11" t="n">
        <v>4</v>
      </c>
      <c r="G52" s="8">
        <f>IF(OR($E52="",$F52=""),"",$E52*$F52)</f>
        <v>12</v>
      </c>
      <c r="H52" s="8" t="str">
        <f>IF($G52="","",IF($G52&gt;=20,"Extremo",IF($G52&gt;=12,"Alto",IF($G52&gt;=6,"Medio",IF($G52&gt;=3,"Bajo","Muy bajo")))))</f>
        <v>Alto</v>
      </c>
      <c r="I52" s="54" t="str">
        <f>IFERROR(VLOOKUP($H52,'4. Escalas'!$A$21:$C$25,3,FALSE),"")</f>
        <v>Semanal + inspección formal mensual</v>
      </c>
      <c r="J52" s="10" t="inlineStr">
        <is>
          <t>Mensual (BPM / Res. 2674 de 2013 / AIB)</t>
        </is>
      </c>
      <c r="K52" s="11" t="n"/>
      <c r="L52" s="12" t="n"/>
      <c r="M52" s="12" t="n"/>
      <c r="N52" s="13" t="n"/>
    </row>
    <row r="53" ht="48" customHeight="1" s="57">
      <c r="A53" s="8" t="inlineStr">
        <is>
          <t>R-52</t>
        </is>
      </c>
      <c r="B53" s="22" t="inlineStr">
        <is>
          <t>L. Producto y calidad</t>
        </is>
      </c>
      <c r="C53" s="54" t="inlineStr">
        <is>
          <t>SEGREGACIÓN Y MERCANCÍAS PELIGROSAS. Matriz de compatibilidad, químicos separados de alimentos, alérgenos segregados, rotulado por clase ONU, fichas de seguridad accesibles y kit de derrames.</t>
        </is>
      </c>
      <c r="D53" s="47" t="inlineStr">
        <is>
          <t>Inventario clasificado y fichas de datos de seguridad.</t>
        </is>
      </c>
      <c r="E53" s="11" t="n">
        <v>3</v>
      </c>
      <c r="F53" s="11" t="n">
        <v>5</v>
      </c>
      <c r="G53" s="8">
        <f>IF(OR($E53="",$F53=""),"",$E53*$F53)</f>
        <v>15</v>
      </c>
      <c r="H53" s="8" t="str">
        <f>IF($G53="","",IF($G53&gt;=20,"Extremo",IF($G53&gt;=12,"Alto",IF($G53&gt;=6,"Medio",IF($G53&gt;=3,"Bajo","Muy bajo")))))</f>
        <v>Alto</v>
      </c>
      <c r="I53" s="54" t="str">
        <f>IFERROR(VLOOKUP($H53,'4. Escalas'!$A$21:$C$25,3,FALSE),"")</f>
        <v>Semanal + inspección formal mensual</v>
      </c>
      <c r="J53" s="10" t="inlineStr">
        <is>
          <t>Mensual (Decreto 1609 de 2002 / NTC 1692 / SGA-GHS / NFPA 400)</t>
        </is>
      </c>
      <c r="K53" s="11" t="n"/>
      <c r="L53" s="12" t="n"/>
      <c r="M53" s="12" t="n"/>
      <c r="N53" s="13" t="n"/>
    </row>
    <row r="54" ht="48" customHeight="1" s="57">
      <c r="A54" s="8" t="inlineStr">
        <is>
          <t>R-53</t>
        </is>
      </c>
      <c r="B54" s="22" t="inlineStr">
        <is>
          <t>L. Producto y calidad</t>
        </is>
      </c>
      <c r="C54" s="44" t="inlineStr">
        <is>
          <t>CONTROL DE VENCIMIENTOS. Regla de primero en vencer, primero en salir (FEFO) parametrizada en el sistema de gestión de bodega, reporte de próximos a vencer y bloqueo automático de lotes vencidos.</t>
        </is>
      </c>
      <c r="D54" s="47" t="inlineStr">
        <is>
          <t>Reporte de vencimientos y política de retiro anticipado.</t>
        </is>
      </c>
      <c r="E54" s="11" t="n">
        <v>3</v>
      </c>
      <c r="F54" s="11" t="n">
        <v>4</v>
      </c>
      <c r="G54" s="8">
        <f>IF(OR($E54="",$F54=""),"",$E54*$F54)</f>
        <v>12</v>
      </c>
      <c r="H54" s="8" t="str">
        <f>IF($G54="","",IF($G54&gt;=20,"Extremo",IF($G54&gt;=12,"Alto",IF($G54&gt;=6,"Medio",IF($G54&gt;=3,"Bajo","Muy bajo")))))</f>
        <v>Alto</v>
      </c>
      <c r="I54" s="54" t="str">
        <f>IFERROR(VLOOKUP($H54,'4. Escalas'!$A$21:$C$25,3,FALSE),"")</f>
        <v>Semanal + inspección formal mensual</v>
      </c>
      <c r="J54" s="10" t="inlineStr">
        <is>
          <t>Semanal (BPM / ISO 9001)</t>
        </is>
      </c>
      <c r="K54" s="11" t="n"/>
      <c r="L54" s="12" t="n"/>
      <c r="M54" s="12" t="n"/>
      <c r="N54" s="13" t="n"/>
    </row>
    <row r="55" ht="60" customHeight="1" s="57">
      <c r="A55" s="8" t="inlineStr">
        <is>
          <t>R-54</t>
        </is>
      </c>
      <c r="B55" s="22" t="inlineStr">
        <is>
          <t>L. Producto y calidad</t>
        </is>
      </c>
      <c r="C55" s="46" t="inlineStr">
        <is>
          <t>EXACTITUD DE INVENTARIO Y MERMA. Conteos cíclicos por clasificación ABC con análisis de causa, indicador de averías por proceso y simulacro de trazabilidad.</t>
        </is>
      </c>
      <c r="D55" s="47" t="inlineStr">
        <is>
          <t>Indicador de exactitud de inventario y acta de simulacro de retiro de producto del mercado.</t>
        </is>
      </c>
      <c r="E55" s="11" t="n">
        <v>4</v>
      </c>
      <c r="F55" s="11" t="n">
        <v>3</v>
      </c>
      <c r="G55" s="8">
        <f>IF(OR($E55="",$F55=""),"",$E55*$F55)</f>
        <v>12</v>
      </c>
      <c r="H55" s="8" t="str">
        <f>IF($G55="","",IF($G55&gt;=20,"Extremo",IF($G55&gt;=12,"Alto",IF($G55&gt;=6,"Medio",IF($G55&gt;=3,"Bajo","Muy bajo")))))</f>
        <v>Alto</v>
      </c>
      <c r="I55" s="54" t="str">
        <f>IFERROR(VLOOKUP($H55,'4. Escalas'!$A$21:$C$25,3,FALSE),"")</f>
        <v>Semanal + inspección formal mensual</v>
      </c>
      <c r="J55" s="10" t="inlineStr">
        <is>
          <t>Conteos cíclicos diarios (A) y semanales (B y C) · inventario general anual · simulacro de retiro de producto del mercado anual (ISO 22000)</t>
        </is>
      </c>
      <c r="K55" s="11" t="n"/>
      <c r="L55" s="12" t="n"/>
      <c r="M55" s="12" t="n"/>
      <c r="N55" s="13" t="n"/>
    </row>
    <row r="56" ht="48" customHeight="1" s="57">
      <c r="A56" s="8" t="inlineStr">
        <is>
          <t>R-55</t>
        </is>
      </c>
      <c r="B56" s="23" t="inlineStr">
        <is>
          <t>M. Operación</t>
        </is>
      </c>
      <c r="C56" s="54" t="inlineStr">
        <is>
          <t>CAPACIDAD, DISTRIBUCIÓN EN PLANTA Y FLUJOS. Capacidad por proceso vs. demanda proyectada, identificación de la restricción, cruces de flujo y coherencia de la asignación de ubicaciones con la rotación.</t>
        </is>
      </c>
      <c r="D56" s="47" t="inlineStr">
        <is>
          <t>Estudio de capacidad y plano de distribución en planta vigente.</t>
        </is>
      </c>
      <c r="E56" s="11" t="n">
        <v>4</v>
      </c>
      <c r="F56" s="11" t="n">
        <v>3</v>
      </c>
      <c r="G56" s="8">
        <f>IF(OR($E56="",$F56=""),"",$E56*$F56)</f>
        <v>12</v>
      </c>
      <c r="H56" s="8" t="str">
        <f>IF($G56="","",IF($G56&gt;=20,"Extremo",IF($G56&gt;=12,"Alto",IF($G56&gt;=6,"Medio",IF($G56&gt;=3,"Bajo","Muy bajo")))))</f>
        <v>Alto</v>
      </c>
      <c r="I56" s="54" t="str">
        <f>IFERROR(VLOOKUP($H56,'4. Escalas'!$A$21:$C$25,3,FALSE),"")</f>
        <v>Semanal + inspección formal mensual</v>
      </c>
      <c r="J56" s="10" t="inlineStr">
        <is>
          <t>Capacidad mensual · distribución en planta y asignación de ubicaciones, semestral</t>
        </is>
      </c>
      <c r="K56" s="11" t="n"/>
      <c r="L56" s="12" t="n"/>
      <c r="M56" s="12" t="n"/>
      <c r="N56" s="13" t="n"/>
    </row>
    <row r="57" ht="46" customHeight="1" s="57">
      <c r="A57" s="8" t="inlineStr">
        <is>
          <t>R-56</t>
        </is>
      </c>
      <c r="B57" s="23" t="inlineStr">
        <is>
          <t>M. Operación</t>
        </is>
      </c>
      <c r="C57" s="54" t="inlineStr">
        <is>
          <t>DEVOLUCIONES, DOCUMENTACIÓN E INDICADORES. Área demarcada y tiempo máximo de permanencia de devoluciones, validación documental en el despacho y tablero con acciones cerradas.</t>
        </is>
      </c>
      <c r="D57" s="47" t="inlineStr">
        <is>
          <t>Indicador de pedidos perfectos y actas con compromisos.</t>
        </is>
      </c>
      <c r="E57" s="11" t="n">
        <v>3</v>
      </c>
      <c r="F57" s="11" t="n">
        <v>3</v>
      </c>
      <c r="G57" s="8">
        <f>IF(OR($E57="",$F57=""),"",$E57*$F57)</f>
        <v>9</v>
      </c>
      <c r="H57" s="8" t="str">
        <f>IF($G57="","",IF($G57&gt;=20,"Extremo",IF($G57&gt;=12,"Alto",IF($G57&gt;=6,"Medio",IF($G57&gt;=3,"Bajo","Muy bajo")))))</f>
        <v>Medio</v>
      </c>
      <c r="I57" s="54" t="str">
        <f>IFERROR(VLOOKUP($H57,'4. Escalas'!$A$21:$C$25,3,FALSE),"")</f>
        <v>Mensual (operativo) o trimestral (estructural)</v>
      </c>
      <c r="J57" s="10" t="inlineStr">
        <is>
          <t>Documentación semanal · devoluciones e indicadores mensual (ISO 9001)</t>
        </is>
      </c>
      <c r="K57" s="11" t="n"/>
      <c r="L57" s="12" t="n"/>
      <c r="M57" s="12" t="n"/>
      <c r="N57" s="13" t="n"/>
    </row>
    <row r="58" ht="48" customHeight="1" s="57">
      <c r="A58" s="8" t="inlineStr">
        <is>
          <t>R-57</t>
        </is>
      </c>
      <c r="B58" s="24" t="inlineStr">
        <is>
          <t>N. Terceros</t>
        </is>
      </c>
      <c r="C58" s="54" t="inlineStr">
        <is>
          <t>CONTRATISTAS Y MONTAJE DE ESTANTERÍA. Homologación documental, inducción previa, permisos de trabajo y montaje o modificación de la estantería por instalador calificado con plano aprobado.</t>
        </is>
      </c>
      <c r="D58" s="47" t="inlineStr">
        <is>
          <t>Carpeta del contratista y acta de montaje.</t>
        </is>
      </c>
      <c r="E58" s="11" t="n">
        <v>3</v>
      </c>
      <c r="F58" s="11" t="n">
        <v>5</v>
      </c>
      <c r="G58" s="8">
        <f>IF(OR($E58="",$F58=""),"",$E58*$F58)</f>
        <v>15</v>
      </c>
      <c r="H58" s="8" t="str">
        <f>IF($G58="","",IF($G58&gt;=20,"Extremo",IF($G58&gt;=12,"Alto",IF($G58&gt;=6,"Medio",IF($G58&gt;=3,"Bajo","Muy bajo")))))</f>
        <v>Alto</v>
      </c>
      <c r="I58" s="54" t="str">
        <f>IFERROR(VLOOKUP($H58,'4. Escalas'!$A$21:$C$25,3,FALSE),"")</f>
        <v>Semanal + inspección formal mensual</v>
      </c>
      <c r="J58" s="10" t="inlineStr">
        <is>
          <t>En cada ingreso y en cada proyecto · auditoría del programa mensual (Decreto 1072 / EN 15629)</t>
        </is>
      </c>
      <c r="K58" s="11" t="n"/>
      <c r="L58" s="12" t="n"/>
      <c r="M58" s="12" t="n"/>
      <c r="N58" s="13" t="n"/>
    </row>
    <row r="59" ht="48" customHeight="1" s="57">
      <c r="A59" s="8" t="inlineStr">
        <is>
          <t>R-58</t>
        </is>
      </c>
      <c r="B59" s="24" t="inlineStr">
        <is>
          <t>N. Terceros</t>
        </is>
      </c>
      <c r="C59" s="54" t="inlineStr">
        <is>
          <t>OPERADOR LOGÍSTICO Y TRANSPORTISTAS. Contrato con indicadores y requisitos de seguridad y salud en el trabajo, auditoría del tercero, y documentación y estado del vehículo verificados antes del cargue.</t>
        </is>
      </c>
      <c r="D59" s="47" t="inlineStr">
        <is>
          <t>Informes de auditoría y checklist de aptitud del vehículo.</t>
        </is>
      </c>
      <c r="E59" s="11" t="n">
        <v>3</v>
      </c>
      <c r="F59" s="11" t="n">
        <v>4</v>
      </c>
      <c r="G59" s="8">
        <f>IF(OR($E59="",$F59=""),"",$E59*$F59)</f>
        <v>12</v>
      </c>
      <c r="H59" s="8" t="str">
        <f>IF($G59="","",IF($G59&gt;=20,"Extremo",IF($G59&gt;=12,"Alto",IF($G59&gt;=6,"Medio",IF($G59&gt;=3,"Bajo","Muy bajo")))))</f>
        <v>Alto</v>
      </c>
      <c r="I59" s="54" t="str">
        <f>IFERROR(VLOOKUP($H59,'4. Escalas'!$A$21:$C$25,3,FALSE),"")</f>
        <v>Semanal + inspección formal mensual</v>
      </c>
      <c r="J59" s="10" t="inlineStr">
        <is>
          <t>Checklist en cada cargue · evaluación del proveedor trimestral · auditoría anual (ISO 9001 / ISO 45001)</t>
        </is>
      </c>
      <c r="K59" s="11" t="n"/>
      <c r="L59" s="12" t="n"/>
      <c r="M59" s="12" t="n"/>
      <c r="N59" s="13" t="n"/>
    </row>
    <row r="60" ht="60" customHeight="1" s="57">
      <c r="A60" s="8" t="inlineStr">
        <is>
          <t>R-59</t>
        </is>
      </c>
      <c r="B60" s="25" t="inlineStr">
        <is>
          <t>O. Legal y continuidad</t>
        </is>
      </c>
      <c r="C60" s="54" t="inlineStr">
        <is>
          <t>PERMISOS Y CUMPLIMIENTO DEL SISTEMA DE GESTIÓN DE SEGURIDAD Y SALUD EN EL TRABAJO. Matriz de requisitos legales con fechas de vencimiento (bomberos, sanitario, ambiental, uso de suelo) y autoevaluación del sistema, con su plan de trabajo ejecutado.</t>
        </is>
      </c>
      <c r="D60" s="47" t="inlineStr">
        <is>
          <t>Matriz legal y autoevaluación.</t>
        </is>
      </c>
      <c r="E60" s="11" t="n">
        <v>2</v>
      </c>
      <c r="F60" s="11" t="n">
        <v>5</v>
      </c>
      <c r="G60" s="8">
        <f>IF(OR($E60="",$F60=""),"",$E60*$F60)</f>
        <v>10</v>
      </c>
      <c r="H60" s="8" t="str">
        <f>IF($G60="","",IF($G60&gt;=20,"Extremo",IF($G60&gt;=12,"Alto",IF($G60&gt;=6,"Medio",IF($G60&gt;=3,"Bajo","Muy bajo")))))</f>
        <v>Medio</v>
      </c>
      <c r="I60" s="54" t="str">
        <f>IFERROR(VLOOKUP($H60,'4. Escalas'!$A$21:$C$25,3,FALSE),"")</f>
        <v>Mensual (operativo) o trimestral (estructural)</v>
      </c>
      <c r="J60" s="10" t="inlineStr">
        <is>
          <t>Matriz legal trimestral · autoevaluación anual (Res. 0312 de 2019 / Decreto 1072)</t>
        </is>
      </c>
      <c r="K60" s="11" t="n"/>
      <c r="L60" s="12" t="n"/>
      <c r="M60" s="12" t="n"/>
      <c r="N60" s="13" t="n"/>
    </row>
    <row r="61" ht="46" customHeight="1" s="57">
      <c r="A61" s="8" t="inlineStr">
        <is>
          <t>R-60</t>
        </is>
      </c>
      <c r="B61" s="25" t="inlineStr">
        <is>
          <t>O. Legal y continuidad</t>
        </is>
      </c>
      <c r="C61" s="54" t="inlineStr">
        <is>
          <t>PÓLIZA Y VALORES ASEGURADOS. Valores vs. valor de reposición, cumplimiento de las garantías de la póliza, cobertura de lucro cesante y recomendaciones de la aseguradora cerradas.</t>
        </is>
      </c>
      <c r="D61" s="47" t="inlineStr">
        <is>
          <t>Carátula de la póliza e informe de inspección.</t>
        </is>
      </c>
      <c r="E61" s="11" t="n">
        <v>2</v>
      </c>
      <c r="F61" s="11" t="n">
        <v>5</v>
      </c>
      <c r="G61" s="8">
        <f>IF(OR($E61="",$F61=""),"",$E61*$F61)</f>
        <v>10</v>
      </c>
      <c r="H61" s="8" t="str">
        <f>IF($G61="","",IF($G61&gt;=20,"Extremo",IF($G61&gt;=12,"Alto",IF($G61&gt;=6,"Medio",IF($G61&gt;=3,"Bajo","Muy bajo")))))</f>
        <v>Medio</v>
      </c>
      <c r="I61" s="54" t="str">
        <f>IFERROR(VLOOKUP($H61,'4. Escalas'!$A$21:$C$25,3,FALSE),"")</f>
        <v>Mensual (operativo) o trimestral (estructural)</v>
      </c>
      <c r="J61" s="10" t="inlineStr">
        <is>
          <t>Anual en la renovación y ante cambios relevantes de inventario o infraestructura</t>
        </is>
      </c>
      <c r="K61" s="11" t="n"/>
      <c r="L61" s="12" t="n"/>
      <c r="M61" s="12" t="n"/>
      <c r="N61" s="13" t="n"/>
    </row>
    <row r="62" ht="48" customHeight="1" s="57">
      <c r="A62" s="8" t="inlineStr">
        <is>
          <t>R-61</t>
        </is>
      </c>
      <c r="B62" s="25" t="inlineStr">
        <is>
          <t>O. Legal y continuidad</t>
        </is>
      </c>
      <c r="C62" s="54" t="inlineStr">
        <is>
          <t>CONTINUIDAD DEL NEGOCIO. Análisis de impacto al negocio, tiempo máximo de recuperación y pérdida máxima de información admitida, plan de continuidad probado, alternativas ante bloqueo o paro y acuerdos de almacenamiento de emergencia.</t>
        </is>
      </c>
      <c r="D62" s="47" t="inlineStr">
        <is>
          <t>Documento del plan de continuidad del negocio y acta de prueba.</t>
        </is>
      </c>
      <c r="E62" s="11" t="n">
        <v>3</v>
      </c>
      <c r="F62" s="11" t="n">
        <v>5</v>
      </c>
      <c r="G62" s="8">
        <f>IF(OR($E62="",$F62=""),"",$E62*$F62)</f>
        <v>15</v>
      </c>
      <c r="H62" s="8" t="str">
        <f>IF($G62="","",IF($G62&gt;=20,"Extremo",IF($G62&gt;=12,"Alto",IF($G62&gt;=6,"Medio",IF($G62&gt;=3,"Bajo","Muy bajo")))))</f>
        <v>Alto</v>
      </c>
      <c r="I62" s="54" t="str">
        <f>IFERROR(VLOOKUP($H62,'4. Escalas'!$A$21:$C$25,3,FALSE),"")</f>
        <v>Semanal + inspección formal mensual</v>
      </c>
      <c r="J62" s="10" t="inlineStr">
        <is>
          <t>Revisión y prueba del plan de continuidad del negocio, anual · escenarios de bloqueo semestral (ISO 22301)</t>
        </is>
      </c>
      <c r="K62" s="11" t="n"/>
      <c r="L62" s="12" t="n"/>
      <c r="M62" s="12" t="n"/>
      <c r="N62" s="13" t="n"/>
    </row>
    <row r="63" ht="46" customHeight="1" s="57">
      <c r="A63" s="8" t="inlineStr">
        <is>
          <t>R-62</t>
        </is>
      </c>
      <c r="B63" s="25" t="inlineStr">
        <is>
          <t>O. Legal y continuidad</t>
        </is>
      </c>
      <c r="C63" s="54" t="inlineStr">
        <is>
          <t>LECCIONES APRENDIDAS Y CIERRE DE ACCIONES. Investigación de todos los eventos incluidos los casi-accidentes, causa raíz, cierre y verificación de eficacia.</t>
        </is>
      </c>
      <c r="D63" s="47" t="inlineStr">
        <is>
          <t>Matriz de acciones con verificación de eficacia.</t>
        </is>
      </c>
      <c r="E63" s="11" t="n">
        <v>3</v>
      </c>
      <c r="F63" s="11" t="n">
        <v>4</v>
      </c>
      <c r="G63" s="8">
        <f>IF(OR($E63="",$F63=""),"",$E63*$F63)</f>
        <v>12</v>
      </c>
      <c r="H63" s="8" t="str">
        <f>IF($G63="","",IF($G63&gt;=20,"Extremo",IF($G63&gt;=12,"Alto",IF($G63&gt;=6,"Medio",IF($G63&gt;=3,"Bajo","Muy bajo")))))</f>
        <v>Alto</v>
      </c>
      <c r="I63" s="54" t="str">
        <f>IFERROR(VLOOKUP($H63,'4. Escalas'!$A$21:$C$25,3,FALSE),"")</f>
        <v>Semanal + inspección formal mensual</v>
      </c>
      <c r="J63" s="10" t="inlineStr">
        <is>
          <t>Revisión de eventos mensual · análisis de tendencia trimestral (ISO 45001 / ISO 31000)</t>
        </is>
      </c>
      <c r="K63" s="11" t="n"/>
      <c r="L63" s="12" t="n"/>
      <c r="M63" s="12" t="n"/>
      <c r="N63" s="13" t="n"/>
    </row>
  </sheetData>
  <autoFilter ref="A1:N63"/>
  <conditionalFormatting sqref="H2:H63">
    <cfRule type="cellIs" priority="1" operator="equal" dxfId="3">
      <formula>"Extremo"</formula>
    </cfRule>
    <cfRule type="cellIs" priority="2" operator="equal" dxfId="11">
      <formula>"Alto"</formula>
    </cfRule>
    <cfRule type="cellIs" priority="3" operator="equal" dxfId="1">
      <formula>"Medio"</formula>
    </cfRule>
    <cfRule type="cellIs" priority="4" operator="equal" dxfId="2">
      <formula>"Bajo"</formula>
    </cfRule>
    <cfRule type="cellIs" priority="5" operator="equal" dxfId="8">
      <formula>"Muy bajo"</formula>
    </cfRule>
  </conditionalFormatting>
  <conditionalFormatting sqref="K2:K63">
    <cfRule type="cellIs" priority="6" operator="equal" dxfId="3">
      <formula>"No"</formula>
    </cfRule>
    <cfRule type="cellIs" priority="7" operator="equal" dxfId="1">
      <formula>"Parcial"</formula>
    </cfRule>
    <cfRule type="cellIs" priority="8" operator="equal" dxfId="2">
      <formula>"Sí"</formula>
    </cfRule>
  </conditionalFormatting>
  <dataValidations count="2">
    <dataValidation sqref="E2:F63" showDropDown="0" showInputMessage="1" showErrorMessage="1" allowBlank="1" errorTitle="Valor no permitido" error="La escala va únicamente de 1 a 5. Consulte los criterios en la hoja '3. Escalas'." promptTitle="Escala 1 a 5" prompt="1 Raro · 2 Improbable · 3 Posible · 4 Probable · 5 Casi seguro" type="list">
      <formula1>"1,2,3,4,5"</formula1>
    </dataValidation>
    <dataValidation sqref="K2:K63" showDropDown="0" showInputMessage="0" showErrorMessage="1" allowBlank="1" errorTitle="Valor no permitido" error="Seleccione una opción de la lista: Sí, Parcial, No o N.A." type="list">
      <formula1>"Sí,Parcial,No,N.A."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A1:H39"/>
  <sheetViews>
    <sheetView showGridLines="0" zoomScale="80" zoomScaleNormal="80" workbookViewId="0">
      <pane ySplit="3" topLeftCell="A19" activePane="bottomLeft" state="frozen"/>
      <selection pane="bottomLeft" activeCell="C33" sqref="C33"/>
    </sheetView>
  </sheetViews>
  <sheetFormatPr baseColWidth="10" defaultColWidth="8.7265625" defaultRowHeight="14.5"/>
  <cols>
    <col width="3" customWidth="1" style="57" min="1" max="1"/>
    <col width="34" customWidth="1" style="57" min="2" max="2"/>
    <col width="12" customWidth="1" style="57" min="3" max="8"/>
  </cols>
  <sheetData>
    <row r="1" ht="22" customHeight="1" s="57">
      <c r="B1" s="1" t="inlineStr">
        <is>
          <t>RESUMEN</t>
        </is>
      </c>
    </row>
    <row r="2">
      <c r="B2" s="2" t="inlineStr">
        <is>
          <t>Se actualiza solo a partir de la hoja '2. Matriz rápida'.</t>
        </is>
      </c>
    </row>
    <row r="4" ht="20" customHeight="1" s="57">
      <c r="A4" s="56" t="inlineStr">
        <is>
          <t xml:space="preserve">  PERFIL DE RIESGO</t>
        </is>
      </c>
    </row>
    <row r="5" ht="24" customHeight="1" s="57">
      <c r="A5" s="51" t="n"/>
      <c r="B5" s="51" t="inlineStr">
        <is>
          <t>Nivel</t>
        </is>
      </c>
      <c r="C5" s="51" t="inlineStr">
        <is>
          <t>Cantidad</t>
        </is>
      </c>
      <c r="D5" s="51" t="inlineStr">
        <is>
          <t>%</t>
        </is>
      </c>
      <c r="E5" s="51" t="inlineStr">
        <is>
          <t>Frecuencia mínima que exige</t>
        </is>
      </c>
      <c r="F5" s="52" t="n"/>
      <c r="G5" s="52" t="n"/>
      <c r="H5" s="53" t="n"/>
    </row>
    <row r="6" ht="22" customHeight="1" s="57">
      <c r="B6" s="26" t="inlineStr">
        <is>
          <t>Extremo</t>
        </is>
      </c>
      <c r="C6" s="6">
        <f>COUNTIF('2. Matriz '!$H$2:$H$63,"Extremo")</f>
        <v>7</v>
      </c>
      <c r="D6" s="38">
        <f>IFERROR(C6/$C$11,0)</f>
        <v>0.11290322580645161</v>
      </c>
      <c r="E6" s="54" t="inlineStr">
        <is>
          <t>Diaria o por turno + inspección formal semanal</t>
        </is>
      </c>
      <c r="F6" s="52" t="n"/>
      <c r="G6" s="52" t="n"/>
      <c r="H6" s="53" t="n"/>
    </row>
    <row r="7" ht="22" customHeight="1" s="57">
      <c r="B7" s="28" t="inlineStr">
        <is>
          <t>Alto</t>
        </is>
      </c>
      <c r="C7" s="6">
        <f>COUNTIF('2. Matriz '!$H$2:$H$63,"Alto")</f>
        <v>44</v>
      </c>
      <c r="D7" s="38">
        <f>IFERROR(C7/$C$11,0)</f>
        <v>0.7096774193548387</v>
      </c>
      <c r="E7" s="54" t="inlineStr">
        <is>
          <t>Semanal + inspección formal mensual</t>
        </is>
      </c>
      <c r="F7" s="52" t="n"/>
      <c r="G7" s="52" t="n"/>
      <c r="H7" s="53" t="n"/>
    </row>
    <row r="8" ht="22" customHeight="1" s="57">
      <c r="B8" s="29" t="inlineStr">
        <is>
          <t>Medio</t>
        </is>
      </c>
      <c r="C8" s="6">
        <f>COUNTIF('2. Matriz '!$H$2:$H$63,"Medio")</f>
        <v>9</v>
      </c>
      <c r="D8" s="38">
        <f>IFERROR(C8/$C$11,0)</f>
        <v>0.14516129032258066</v>
      </c>
      <c r="E8" s="54" t="inlineStr">
        <is>
          <t>Mensual (operativo) o trimestral (estructural)</t>
        </is>
      </c>
      <c r="F8" s="52" t="n"/>
      <c r="G8" s="52" t="n"/>
      <c r="H8" s="53" t="n"/>
    </row>
    <row r="9" ht="22" customHeight="1" s="57">
      <c r="B9" s="30" t="inlineStr">
        <is>
          <t>Bajo</t>
        </is>
      </c>
      <c r="C9" s="6">
        <f>COUNTIF('2. Matriz '!$H$2:$H$63,"Bajo")</f>
        <v>2</v>
      </c>
      <c r="D9" s="38">
        <f>IFERROR(C9/$C$11,0)</f>
        <v>0.03225806451612903</v>
      </c>
      <c r="E9" s="54" t="inlineStr">
        <is>
          <t>Semestral</t>
        </is>
      </c>
      <c r="F9" s="52" t="n"/>
      <c r="G9" s="52" t="n"/>
      <c r="H9" s="53" t="n"/>
    </row>
    <row r="10" ht="22" customHeight="1" s="57">
      <c r="B10" s="31" t="inlineStr">
        <is>
          <t>Muy bajo</t>
        </is>
      </c>
      <c r="C10" s="6">
        <f>COUNTIF('2. Matriz '!$H$2:$H$63,"Muy bajo")</f>
        <v>0</v>
      </c>
      <c r="D10" s="38">
        <f>IFERROR(C10/$C$11,0)</f>
        <v>0.0</v>
      </c>
      <c r="E10" s="54" t="inlineStr">
        <is>
          <t>Anual</t>
        </is>
      </c>
      <c r="F10" s="52" t="n"/>
      <c r="G10" s="52" t="n"/>
      <c r="H10" s="53" t="n"/>
    </row>
    <row r="11">
      <c r="B11" s="39" t="inlineStr">
        <is>
          <t>Total de riesgos</t>
        </is>
      </c>
      <c r="C11" s="40">
        <f>SUM(C6:C10)</f>
        <v>62</v>
      </c>
      <c r="D11" s="41" t="n"/>
      <c r="E11" s="41" t="n"/>
    </row>
    <row r="13" ht="20" customHeight="1" s="57">
      <c r="A13" s="56" t="inlineStr">
        <is>
          <t xml:space="preserve">  CUMPLIMIENTO DE LA VERIFICACIÓN</t>
        </is>
      </c>
    </row>
    <row r="14" ht="24" customHeight="1" s="57">
      <c r="A14" s="51" t="n"/>
      <c r="B14" s="51" t="inlineStr">
        <is>
          <t>Resultado</t>
        </is>
      </c>
      <c r="C14" s="51" t="inlineStr">
        <is>
          <t>Cantidad</t>
        </is>
      </c>
      <c r="D14" s="51" t="inlineStr">
        <is>
          <t>%</t>
        </is>
      </c>
      <c r="E14" s="51" t="inlineStr">
        <is>
          <t>Qué hacer</t>
        </is>
      </c>
      <c r="F14" s="52" t="n"/>
      <c r="G14" s="52" t="n"/>
      <c r="H14" s="53" t="n"/>
    </row>
    <row r="15" ht="20" customHeight="1" s="57">
      <c r="B15" s="8" t="inlineStr">
        <is>
          <t>Sí</t>
        </is>
      </c>
      <c r="C15" s="6">
        <f>COUNTIF('2. Matriz '!$K$2:$K$63,"Sí")</f>
        <v>0</v>
      </c>
      <c r="D15" s="38">
        <f>IFERROR(C15/62,0)</f>
        <v>0.0</v>
      </c>
      <c r="E15" s="54" t="inlineStr">
        <is>
          <t>Mantener el control y conservar su evidencia</t>
        </is>
      </c>
      <c r="F15" s="52" t="n"/>
      <c r="G15" s="52" t="n"/>
      <c r="H15" s="53" t="n"/>
    </row>
    <row r="16" ht="20" customHeight="1" s="57">
      <c r="B16" s="8" t="inlineStr">
        <is>
          <t>Parcial</t>
        </is>
      </c>
      <c r="C16" s="6">
        <f>COUNTIF('2. Matriz '!$K$2:$K$63,"Parcial")</f>
        <v>0</v>
      </c>
      <c r="D16" s="38">
        <f>IFERROR(C16/62,0)</f>
        <v>0.0</v>
      </c>
      <c r="E16" s="54" t="inlineStr">
        <is>
          <t>Cerrar la brecha dentro del plazo del nivel de riesgo</t>
        </is>
      </c>
      <c r="F16" s="52" t="n"/>
      <c r="G16" s="52" t="n"/>
      <c r="H16" s="53" t="n"/>
    </row>
    <row r="17" ht="20" customHeight="1" s="57">
      <c r="B17" s="8" t="inlineStr">
        <is>
          <t>No</t>
        </is>
      </c>
      <c r="C17" s="6">
        <f>COUNTIF('2. Matriz '!$K$2:$K$63,"No")</f>
        <v>0</v>
      </c>
      <c r="D17" s="38">
        <f>IFERROR(C17/62,0)</f>
        <v>0.0</v>
      </c>
      <c r="E17" s="54" t="inlineStr">
        <is>
          <t>Pasa al plan de acción con responsable y fecha</t>
        </is>
      </c>
      <c r="F17" s="52" t="n"/>
      <c r="G17" s="52" t="n"/>
      <c r="H17" s="53" t="n"/>
    </row>
    <row r="18" ht="20" customHeight="1" s="57">
      <c r="B18" s="8" t="inlineStr">
        <is>
          <t>N.A.</t>
        </is>
      </c>
      <c r="C18" s="6">
        <f>COUNTIF('2. Matriz '!$K$2:$K$63,"N.A.")</f>
        <v>0</v>
      </c>
      <c r="D18" s="38">
        <f>IFERROR(C18/62,0)</f>
        <v>0.0</v>
      </c>
      <c r="E18" s="54" t="inlineStr">
        <is>
          <t>Dejar registrado por qué no aplica</t>
        </is>
      </c>
      <c r="F18" s="52" t="n"/>
      <c r="G18" s="52" t="n"/>
      <c r="H18" s="53" t="n"/>
    </row>
    <row r="19" ht="20" customHeight="1" s="57">
      <c r="B19" s="8" t="inlineStr">
        <is>
          <t>Sin marcar</t>
        </is>
      </c>
      <c r="C19" s="6">
        <f>62-COUNTA('2. Matriz '!$K$2:$K$63)</f>
        <v>62</v>
      </c>
      <c r="D19" s="38">
        <f>IFERROR(C19/62,0)</f>
        <v>1.0</v>
      </c>
      <c r="E19" s="54" t="inlineStr">
        <is>
          <t>Pendiente de verificar en campo</t>
        </is>
      </c>
      <c r="F19" s="52" t="n"/>
      <c r="G19" s="52" t="n"/>
      <c r="H19" s="53" t="n"/>
    </row>
    <row r="20" ht="15.5" customHeight="1" s="57">
      <c r="B20" s="39" t="inlineStr">
        <is>
          <t>Índice de cumplimiento</t>
        </is>
      </c>
      <c r="C20" s="42">
        <f>IFERROR(C15/(C15+C16+C17),0)</f>
        <v>0</v>
      </c>
      <c r="D20" s="41" t="n"/>
      <c r="E20" s="55" t="inlineStr">
        <is>
          <t>Sí ÷ (Sí + Parcial + No)</t>
        </is>
      </c>
      <c r="F20" s="52" t="n"/>
      <c r="G20" s="52" t="n"/>
      <c r="H20" s="53" t="n"/>
    </row>
    <row r="21" ht="26" customHeight="1" s="57">
      <c r="B21" s="39" t="inlineStr">
        <is>
          <t>Incumplimientos en riesgo Extremo o Alto</t>
        </is>
      </c>
      <c r="C21" s="43">
        <f>COUNTIFS('2. Matriz '!$H$2:$H$63,"Extremo",'2. Matriz '!$K$2:$K$63,"No")+COUNTIFS('2. Matriz '!$H$2:$H$63,"Alto",'2. Matriz '!$K$2:$K$63,"No")</f>
        <v>0</v>
      </c>
      <c r="D21" s="41" t="n"/>
      <c r="E21" s="58" t="inlineStr">
        <is>
          <t>Se atienden primero: ≤ 15 días (Extremo) y ≤ 30 días (Alto)</t>
        </is>
      </c>
      <c r="F21" s="52" t="n"/>
      <c r="G21" s="52" t="n"/>
      <c r="H21" s="53" t="n"/>
    </row>
    <row r="23" ht="20" customHeight="1" s="57">
      <c r="A23" s="56" t="inlineStr">
        <is>
          <t xml:space="preserve">  POR CATEGORÍA</t>
        </is>
      </c>
    </row>
    <row r="24" ht="22" customHeight="1" s="57">
      <c r="A24" s="51" t="n"/>
      <c r="B24" s="51" t="inlineStr">
        <is>
          <t>Categoría</t>
        </is>
      </c>
      <c r="C24" s="51" t="inlineStr">
        <is>
          <t>Extremo</t>
        </is>
      </c>
      <c r="D24" s="51" t="inlineStr">
        <is>
          <t>Alto</t>
        </is>
      </c>
      <c r="E24" s="51" t="inlineStr">
        <is>
          <t>Medio</t>
        </is>
      </c>
      <c r="F24" s="51" t="inlineStr">
        <is>
          <t>Bajo</t>
        </is>
      </c>
      <c r="G24" s="51" t="inlineStr">
        <is>
          <t>Muy bajo</t>
        </is>
      </c>
      <c r="H24" s="51" t="inlineStr">
        <is>
          <t>Total</t>
        </is>
      </c>
    </row>
    <row r="25" ht="20" customHeight="1" s="57">
      <c r="B25" s="54" t="inlineStr">
        <is>
          <t>A. Edificio y piso</t>
        </is>
      </c>
      <c r="C25" s="50">
        <f>COUNTIFS('2. Matriz '!$B$2:$B$63,$B25,'2. Matriz '!$H$2:$H$63,"Extremo")</f>
        <v>1</v>
      </c>
      <c r="D25" s="50">
        <f>COUNTIFS('2. Matriz '!$B$2:$B$63,$B25,'2. Matriz '!$H$2:$H$63,"Alto")</f>
        <v>6</v>
      </c>
      <c r="E25" s="50">
        <f>COUNTIFS('2. Matriz '!$B$2:$B$63,$B25,'2. Matriz '!$H$2:$H$63,"Medio")</f>
        <v>0</v>
      </c>
      <c r="F25" s="50">
        <f>COUNTIFS('2. Matriz '!$B$2:$B$63,$B25,'2. Matriz '!$H$2:$H$63,"Bajo")</f>
        <v>0</v>
      </c>
      <c r="G25" s="50">
        <f>COUNTIFS('2. Matriz '!$B$2:$B$63,$B25,'2. Matriz '!$H$2:$H$63,"Muy bajo")</f>
        <v>0</v>
      </c>
      <c r="H25" s="50">
        <f>COUNTIF('2. Matriz '!$B$2:$B$63,$B25)</f>
        <v>7</v>
      </c>
    </row>
    <row r="26" ht="20" customHeight="1" s="57">
      <c r="B26" s="54" t="inlineStr">
        <is>
          <t>B. Estantería</t>
        </is>
      </c>
      <c r="C26" s="50">
        <f>COUNTIFS('2. Matriz '!$B$2:$B$63,$B26,'2. Matriz '!$H$2:$H$63,"Extremo")</f>
        <v>1</v>
      </c>
      <c r="D26" s="50">
        <f>COUNTIFS('2. Matriz '!$B$2:$B$63,$B26,'2. Matriz '!$H$2:$H$63,"Alto")</f>
        <v>4</v>
      </c>
      <c r="E26" s="50">
        <f>COUNTIFS('2. Matriz '!$B$2:$B$63,$B26,'2. Matriz '!$H$2:$H$63,"Medio")</f>
        <v>0</v>
      </c>
      <c r="F26" s="50">
        <f>COUNTIFS('2. Matriz '!$B$2:$B$63,$B26,'2. Matriz '!$H$2:$H$63,"Bajo")</f>
        <v>2</v>
      </c>
      <c r="G26" s="50">
        <f>COUNTIFS('2. Matriz '!$B$2:$B$63,$B26,'2. Matriz '!$H$2:$H$63,"Muy bajo")</f>
        <v>0</v>
      </c>
      <c r="H26" s="50">
        <f>COUNTIF('2. Matriz '!$B$2:$B$63,$B26)</f>
        <v>7</v>
      </c>
    </row>
    <row r="27" ht="20" customHeight="1" s="57">
      <c r="B27" s="54" t="inlineStr">
        <is>
          <t>C. Volumen y ocupación</t>
        </is>
      </c>
      <c r="C27" s="50">
        <f>COUNTIFS('2. Matriz '!$B$2:$B$63,$B27,'2. Matriz '!$H$2:$H$63,"Extremo")</f>
        <v>2</v>
      </c>
      <c r="D27" s="50">
        <f>COUNTIFS('2. Matriz '!$B$2:$B$63,$B27,'2. Matriz '!$H$2:$H$63,"Alto")</f>
        <v>1</v>
      </c>
      <c r="E27" s="50">
        <f>COUNTIFS('2. Matriz '!$B$2:$B$63,$B27,'2. Matriz '!$H$2:$H$63,"Medio")</f>
        <v>0</v>
      </c>
      <c r="F27" s="50">
        <f>COUNTIFS('2. Matriz '!$B$2:$B$63,$B27,'2. Matriz '!$H$2:$H$63,"Bajo")</f>
        <v>0</v>
      </c>
      <c r="G27" s="50">
        <f>COUNTIFS('2. Matriz '!$B$2:$B$63,$B27,'2. Matriz '!$H$2:$H$63,"Muy bajo")</f>
        <v>0</v>
      </c>
      <c r="H27" s="50">
        <f>COUNTIF('2. Matriz '!$B$2:$B$63,$B27)</f>
        <v>3</v>
      </c>
    </row>
    <row r="28" ht="20" customHeight="1" s="57">
      <c r="B28" s="54" t="inlineStr">
        <is>
          <t>D. Muelles y patio</t>
        </is>
      </c>
      <c r="C28" s="50">
        <f>COUNTIFS('2. Matriz '!$B$2:$B$63,$B28,'2. Matriz '!$H$2:$H$63,"Extremo")</f>
        <v>0</v>
      </c>
      <c r="D28" s="50">
        <f>COUNTIFS('2. Matriz '!$B$2:$B$63,$B28,'2. Matriz '!$H$2:$H$63,"Alto")</f>
        <v>4</v>
      </c>
      <c r="E28" s="50">
        <f>COUNTIFS('2. Matriz '!$B$2:$B$63,$B28,'2. Matriz '!$H$2:$H$63,"Medio")</f>
        <v>0</v>
      </c>
      <c r="F28" s="50">
        <f>COUNTIFS('2. Matriz '!$B$2:$B$63,$B28,'2. Matriz '!$H$2:$H$63,"Bajo")</f>
        <v>0</v>
      </c>
      <c r="G28" s="50">
        <f>COUNTIFS('2. Matriz '!$B$2:$B$63,$B28,'2. Matriz '!$H$2:$H$63,"Muy bajo")</f>
        <v>0</v>
      </c>
      <c r="H28" s="50">
        <f>COUNTIF('2. Matriz '!$B$2:$B$63,$B28)</f>
        <v>4</v>
      </c>
    </row>
    <row r="29" ht="20" customHeight="1" s="57">
      <c r="B29" s="54" t="inlineStr">
        <is>
          <t>E. Equipos (manipulación de materiales)</t>
        </is>
      </c>
      <c r="C29" s="50">
        <f>COUNTIFS('2. Matriz '!$B$2:$B$63,$B29,'2. Matriz '!$H$2:$H$63,"Extremo")</f>
        <v>1</v>
      </c>
      <c r="D29" s="50">
        <f>COUNTIFS('2. Matriz '!$B$2:$B$63,$B29,'2. Matriz '!$H$2:$H$63,"Alto")</f>
        <v>4</v>
      </c>
      <c r="E29" s="50">
        <f>COUNTIFS('2. Matriz '!$B$2:$B$63,$B29,'2. Matriz '!$H$2:$H$63,"Medio")</f>
        <v>0</v>
      </c>
      <c r="F29" s="50">
        <f>COUNTIFS('2. Matriz '!$B$2:$B$63,$B29,'2. Matriz '!$H$2:$H$63,"Bajo")</f>
        <v>0</v>
      </c>
      <c r="G29" s="50">
        <f>COUNTIFS('2. Matriz '!$B$2:$B$63,$B29,'2. Matriz '!$H$2:$H$63,"Muy bajo")</f>
        <v>0</v>
      </c>
      <c r="H29" s="50">
        <f>COUNTIF('2. Matriz '!$B$2:$B$63,$B29)</f>
        <v>5</v>
      </c>
    </row>
    <row r="30" ht="20" customHeight="1" s="57">
      <c r="B30" s="54" t="inlineStr">
        <is>
          <t>F. Incendio</t>
        </is>
      </c>
      <c r="C30" s="50">
        <f>COUNTIFS('2. Matriz '!$B$2:$B$63,$B30,'2. Matriz '!$H$2:$H$63,"Extremo")</f>
        <v>2</v>
      </c>
      <c r="D30" s="50">
        <f>COUNTIFS('2. Matriz '!$B$2:$B$63,$B30,'2. Matriz '!$H$2:$H$63,"Alto")</f>
        <v>4</v>
      </c>
      <c r="E30" s="50">
        <f>COUNTIFS('2. Matriz '!$B$2:$B$63,$B30,'2. Matriz '!$H$2:$H$63,"Medio")</f>
        <v>1</v>
      </c>
      <c r="F30" s="50">
        <f>COUNTIFS('2. Matriz '!$B$2:$B$63,$B30,'2. Matriz '!$H$2:$H$63,"Bajo")</f>
        <v>0</v>
      </c>
      <c r="G30" s="50">
        <f>COUNTIFS('2. Matriz '!$B$2:$B$63,$B30,'2. Matriz '!$H$2:$H$63,"Muy bajo")</f>
        <v>0</v>
      </c>
      <c r="H30" s="50">
        <f>COUNTIF('2. Matriz '!$B$2:$B$63,$B30)</f>
        <v>7</v>
      </c>
    </row>
    <row r="31" ht="20" customHeight="1" s="57">
      <c r="B31" s="54" t="inlineStr">
        <is>
          <t>G. Riesgos naturales</t>
        </is>
      </c>
      <c r="C31" s="50">
        <f>COUNTIFS('2. Matriz '!$B$2:$B$63,$B31,'2. Matriz '!$H$2:$H$63,"Extremo")</f>
        <v>0</v>
      </c>
      <c r="D31" s="50">
        <f>COUNTIFS('2. Matriz '!$B$2:$B$63,$B31,'2. Matriz '!$H$2:$H$63,"Alto")</f>
        <v>1</v>
      </c>
      <c r="E31" s="50">
        <f>COUNTIFS('2. Matriz '!$B$2:$B$63,$B31,'2. Matriz '!$H$2:$H$63,"Medio")</f>
        <v>2</v>
      </c>
      <c r="F31" s="50">
        <f>COUNTIFS('2. Matriz '!$B$2:$B$63,$B31,'2. Matriz '!$H$2:$H$63,"Bajo")</f>
        <v>0</v>
      </c>
      <c r="G31" s="50">
        <f>COUNTIFS('2. Matriz '!$B$2:$B$63,$B31,'2. Matriz '!$H$2:$H$63,"Muy bajo")</f>
        <v>0</v>
      </c>
      <c r="H31" s="50">
        <f>COUNTIF('2. Matriz '!$B$2:$B$63,$B31)</f>
        <v>3</v>
      </c>
    </row>
    <row r="32" ht="20" customHeight="1" s="57">
      <c r="B32" s="54" t="inlineStr">
        <is>
          <t>H. Eléctrico y servicios</t>
        </is>
      </c>
      <c r="C32" s="50">
        <f>COUNTIFS('2. Matriz '!$B$2:$B$63,$B32,'2. Matriz '!$H$2:$H$63,"Extremo")</f>
        <v>0</v>
      </c>
      <c r="D32" s="50">
        <f>COUNTIFS('2. Matriz '!$B$2:$B$63,$B32,'2. Matriz '!$H$2:$H$63,"Alto")</f>
        <v>2</v>
      </c>
      <c r="E32" s="50">
        <f>COUNTIFS('2. Matriz '!$B$2:$B$63,$B32,'2. Matriz '!$H$2:$H$63,"Medio")</f>
        <v>0</v>
      </c>
      <c r="F32" s="50">
        <f>COUNTIFS('2. Matriz '!$B$2:$B$63,$B32,'2. Matriz '!$H$2:$H$63,"Bajo")</f>
        <v>0</v>
      </c>
      <c r="G32" s="50">
        <f>COUNTIFS('2. Matriz '!$B$2:$B$63,$B32,'2. Matriz '!$H$2:$H$63,"Muy bajo")</f>
        <v>0</v>
      </c>
      <c r="H32" s="50">
        <f>COUNTIF('2. Matriz '!$B$2:$B$63,$B32)</f>
        <v>2</v>
      </c>
    </row>
    <row r="33" ht="20" customHeight="1" s="57">
      <c r="B33" s="54" t="inlineStr">
        <is>
          <t>I. Seguridad física</t>
        </is>
      </c>
      <c r="C33" s="50">
        <f>COUNTIFS('2. Matriz '!$B$2:$B$63,$B33,'2. Matriz '!$H$2:$H$63,"Extremo")</f>
        <v>0</v>
      </c>
      <c r="D33" s="50">
        <f>COUNTIFS('2. Matriz '!$B$2:$B$63,$B33,'2. Matriz '!$H$2:$H$63,"Alto")</f>
        <v>2</v>
      </c>
      <c r="E33" s="50">
        <f>COUNTIFS('2. Matriz '!$B$2:$B$63,$B33,'2. Matriz '!$H$2:$H$63,"Medio")</f>
        <v>2</v>
      </c>
      <c r="F33" s="50">
        <f>COUNTIFS('2. Matriz '!$B$2:$B$63,$B33,'2. Matriz '!$H$2:$H$63,"Bajo")</f>
        <v>0</v>
      </c>
      <c r="G33" s="50">
        <f>COUNTIFS('2. Matriz '!$B$2:$B$63,$B33,'2. Matriz '!$H$2:$H$63,"Muy bajo")</f>
        <v>0</v>
      </c>
      <c r="H33" s="50">
        <f>COUNTIF('2. Matriz '!$B$2:$B$63,$B33)</f>
        <v>4</v>
      </c>
    </row>
    <row r="34" ht="20" customHeight="1" s="57">
      <c r="B34" s="54" t="inlineStr">
        <is>
          <t>J. Tecnología</t>
        </is>
      </c>
      <c r="C34" s="50">
        <f>COUNTIFS('2. Matriz '!$B$2:$B$63,$B34,'2. Matriz '!$H$2:$H$63,"Extremo")</f>
        <v>0</v>
      </c>
      <c r="D34" s="50">
        <f>COUNTIFS('2. Matriz '!$B$2:$B$63,$B34,'2. Matriz '!$H$2:$H$63,"Alto")</f>
        <v>2</v>
      </c>
      <c r="E34" s="50">
        <f>COUNTIFS('2. Matriz '!$B$2:$B$63,$B34,'2. Matriz '!$H$2:$H$63,"Medio")</f>
        <v>0</v>
      </c>
      <c r="F34" s="50">
        <f>COUNTIFS('2. Matriz '!$B$2:$B$63,$B34,'2. Matriz '!$H$2:$H$63,"Bajo")</f>
        <v>0</v>
      </c>
      <c r="G34" s="50">
        <f>COUNTIFS('2. Matriz '!$B$2:$B$63,$B34,'2. Matriz '!$H$2:$H$63,"Muy bajo")</f>
        <v>0</v>
      </c>
      <c r="H34" s="50">
        <f>COUNTIF('2. Matriz '!$B$2:$B$63,$B34)</f>
        <v>2</v>
      </c>
    </row>
    <row r="35" ht="20" customHeight="1" s="57">
      <c r="B35" s="54" t="inlineStr">
        <is>
          <t>K. Personas (SST)</t>
        </is>
      </c>
      <c r="C35" s="50">
        <f>COUNTIFS('2. Matriz '!$B$2:$B$63,$B35,'2. Matriz '!$H$2:$H$63,"Extremo")</f>
        <v>0</v>
      </c>
      <c r="D35" s="50">
        <f>COUNTIFS('2. Matriz '!$B$2:$B$63,$B35,'2. Matriz '!$H$2:$H$63,"Alto")</f>
        <v>4</v>
      </c>
      <c r="E35" s="50">
        <f>COUNTIFS('2. Matriz '!$B$2:$B$63,$B35,'2. Matriz '!$H$2:$H$63,"Medio")</f>
        <v>1</v>
      </c>
      <c r="F35" s="50">
        <f>COUNTIFS('2. Matriz '!$B$2:$B$63,$B35,'2. Matriz '!$H$2:$H$63,"Bajo")</f>
        <v>0</v>
      </c>
      <c r="G35" s="50">
        <f>COUNTIFS('2. Matriz '!$B$2:$B$63,$B35,'2. Matriz '!$H$2:$H$63,"Muy bajo")</f>
        <v>0</v>
      </c>
      <c r="H35" s="50">
        <f>COUNTIF('2. Matriz '!$B$2:$B$63,$B35)</f>
        <v>5</v>
      </c>
    </row>
    <row r="36" ht="20" customHeight="1" s="57">
      <c r="B36" s="54" t="inlineStr">
        <is>
          <t>L. Producto y calidad</t>
        </is>
      </c>
      <c r="C36" s="50">
        <f>COUNTIFS('2. Matriz '!$B$2:$B$63,$B36,'2. Matriz '!$H$2:$H$63,"Extremo")</f>
        <v>0</v>
      </c>
      <c r="D36" s="50">
        <f>COUNTIFS('2. Matriz '!$B$2:$B$63,$B36,'2. Matriz '!$H$2:$H$63,"Alto")</f>
        <v>5</v>
      </c>
      <c r="E36" s="50">
        <f>COUNTIFS('2. Matriz '!$B$2:$B$63,$B36,'2. Matriz '!$H$2:$H$63,"Medio")</f>
        <v>0</v>
      </c>
      <c r="F36" s="50">
        <f>COUNTIFS('2. Matriz '!$B$2:$B$63,$B36,'2. Matriz '!$H$2:$H$63,"Bajo")</f>
        <v>0</v>
      </c>
      <c r="G36" s="50">
        <f>COUNTIFS('2. Matriz '!$B$2:$B$63,$B36,'2. Matriz '!$H$2:$H$63,"Muy bajo")</f>
        <v>0</v>
      </c>
      <c r="H36" s="50">
        <f>COUNTIF('2. Matriz '!$B$2:$B$63,$B36)</f>
        <v>5</v>
      </c>
    </row>
    <row r="37" ht="20" customHeight="1" s="57">
      <c r="B37" s="54" t="inlineStr">
        <is>
          <t>M. Operación</t>
        </is>
      </c>
      <c r="C37" s="50">
        <f>COUNTIFS('2. Matriz '!$B$2:$B$63,$B37,'2. Matriz '!$H$2:$H$63,"Extremo")</f>
        <v>0</v>
      </c>
      <c r="D37" s="50">
        <f>COUNTIFS('2. Matriz '!$B$2:$B$63,$B37,'2. Matriz '!$H$2:$H$63,"Alto")</f>
        <v>1</v>
      </c>
      <c r="E37" s="50">
        <f>COUNTIFS('2. Matriz '!$B$2:$B$63,$B37,'2. Matriz '!$H$2:$H$63,"Medio")</f>
        <v>1</v>
      </c>
      <c r="F37" s="50">
        <f>COUNTIFS('2. Matriz '!$B$2:$B$63,$B37,'2. Matriz '!$H$2:$H$63,"Bajo")</f>
        <v>0</v>
      </c>
      <c r="G37" s="50">
        <f>COUNTIFS('2. Matriz '!$B$2:$B$63,$B37,'2. Matriz '!$H$2:$H$63,"Muy bajo")</f>
        <v>0</v>
      </c>
      <c r="H37" s="50">
        <f>COUNTIF('2. Matriz '!$B$2:$B$63,$B37)</f>
        <v>2</v>
      </c>
    </row>
    <row r="38" ht="20" customHeight="1" s="57">
      <c r="B38" s="54" t="inlineStr">
        <is>
          <t>N. Terceros</t>
        </is>
      </c>
      <c r="C38" s="50">
        <f>COUNTIFS('2. Matriz '!$B$2:$B$63,$B38,'2. Matriz '!$H$2:$H$63,"Extremo")</f>
        <v>0</v>
      </c>
      <c r="D38" s="50">
        <f>COUNTIFS('2. Matriz '!$B$2:$B$63,$B38,'2. Matriz '!$H$2:$H$63,"Alto")</f>
        <v>2</v>
      </c>
      <c r="E38" s="50">
        <f>COUNTIFS('2. Matriz '!$B$2:$B$63,$B38,'2. Matriz '!$H$2:$H$63,"Medio")</f>
        <v>0</v>
      </c>
      <c r="F38" s="50">
        <f>COUNTIFS('2. Matriz '!$B$2:$B$63,$B38,'2. Matriz '!$H$2:$H$63,"Bajo")</f>
        <v>0</v>
      </c>
      <c r="G38" s="50">
        <f>COUNTIFS('2. Matriz '!$B$2:$B$63,$B38,'2. Matriz '!$H$2:$H$63,"Muy bajo")</f>
        <v>0</v>
      </c>
      <c r="H38" s="50">
        <f>COUNTIF('2. Matriz '!$B$2:$B$63,$B38)</f>
        <v>2</v>
      </c>
    </row>
    <row r="39" ht="20" customHeight="1" s="57">
      <c r="B39" s="54" t="inlineStr">
        <is>
          <t>O. Legal y continuidad</t>
        </is>
      </c>
      <c r="C39" s="50">
        <f>COUNTIFS('2. Matriz '!$B$2:$B$63,$B39,'2. Matriz '!$H$2:$H$63,"Extremo")</f>
        <v>0</v>
      </c>
      <c r="D39" s="50">
        <f>COUNTIFS('2. Matriz '!$B$2:$B$63,$B39,'2. Matriz '!$H$2:$H$63,"Alto")</f>
        <v>2</v>
      </c>
      <c r="E39" s="50">
        <f>COUNTIFS('2. Matriz '!$B$2:$B$63,$B39,'2. Matriz '!$H$2:$H$63,"Medio")</f>
        <v>2</v>
      </c>
      <c r="F39" s="50">
        <f>COUNTIFS('2. Matriz '!$B$2:$B$63,$B39,'2. Matriz '!$H$2:$H$63,"Bajo")</f>
        <v>0</v>
      </c>
      <c r="G39" s="50">
        <f>COUNTIFS('2. Matriz '!$B$2:$B$63,$B39,'2. Matriz '!$H$2:$H$63,"Muy bajo")</f>
        <v>0</v>
      </c>
      <c r="H39" s="50">
        <f>COUNTIF('2. Matriz '!$B$2:$B$63,$B39)</f>
        <v>4</v>
      </c>
    </row>
  </sheetData>
  <mergeCells count="17">
    <mergeCell ref="E14:H14"/>
    <mergeCell ref="A4:H4"/>
    <mergeCell ref="E17:H17"/>
    <mergeCell ref="E18:H18"/>
    <mergeCell ref="E9:H9"/>
    <mergeCell ref="E8:H8"/>
    <mergeCell ref="E6:H6"/>
    <mergeCell ref="E21:H21"/>
    <mergeCell ref="E20:H20"/>
    <mergeCell ref="E16:H16"/>
    <mergeCell ref="A13:H13"/>
    <mergeCell ref="E7:H7"/>
    <mergeCell ref="E15:H15"/>
    <mergeCell ref="A23:H23"/>
    <mergeCell ref="E19:H19"/>
    <mergeCell ref="E10:H10"/>
    <mergeCell ref="E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F60"/>
  <sheetViews>
    <sheetView showGridLines="0" zoomScale="70" zoomScaleNormal="70" workbookViewId="0">
      <selection activeCell="C1" sqref="C1"/>
    </sheetView>
  </sheetViews>
  <sheetFormatPr baseColWidth="10" defaultColWidth="8.7265625" defaultRowHeight="14.5"/>
  <cols>
    <col width="14" customWidth="1" style="57" min="1" max="1"/>
    <col width="18" customWidth="1" style="57" min="2" max="2"/>
    <col width="42" customWidth="1" style="57" min="3" max="3"/>
    <col width="26" customWidth="1" style="57" min="4" max="4"/>
    <col width="24" customWidth="1" style="57" min="5" max="5"/>
    <col width="22" customWidth="1" style="57" min="6" max="6"/>
  </cols>
  <sheetData>
    <row r="1" ht="22" customHeight="1" s="57">
      <c r="A1" s="1" t="inlineStr">
        <is>
          <t>ESCALAS, MATRIZ Y CRITERIOS DE FRECUENCIA</t>
        </is>
      </c>
    </row>
    <row r="3" ht="20" customHeight="1" s="57">
      <c r="A3" s="56" t="inlineStr">
        <is>
          <t xml:space="preserve">  PROBABILIDAD — ¿qué tan factible es que ocurra?</t>
        </is>
      </c>
    </row>
    <row r="4" ht="26" customHeight="1" s="57">
      <c r="A4" s="51" t="inlineStr">
        <is>
          <t>Valor</t>
        </is>
      </c>
      <c r="B4" s="51" t="inlineStr">
        <is>
          <t>Descriptor</t>
        </is>
      </c>
      <c r="C4" s="51" t="inlineStr">
        <is>
          <t>Criterio de frecuencia</t>
        </is>
      </c>
      <c r="D4" s="51" t="inlineStr">
        <is>
          <t>Histórico en la instalación</t>
        </is>
      </c>
      <c r="E4" s="51" t="inlineStr">
        <is>
          <t>Estado del control</t>
        </is>
      </c>
      <c r="F4" s="53" t="n"/>
    </row>
    <row r="5" ht="25" customHeight="1" s="57">
      <c r="A5" s="8" t="n">
        <v>1</v>
      </c>
      <c r="B5" s="54" t="inlineStr">
        <is>
          <t>Raro</t>
        </is>
      </c>
      <c r="C5" s="54" t="inlineStr">
        <is>
          <t>Menos de 1 vez cada 10 años</t>
        </is>
      </c>
      <c r="D5" s="54" t="inlineStr">
        <is>
          <t>Nunca ha ocurrido aquí ni en el sector</t>
        </is>
      </c>
      <c r="E5" s="54" t="inlineStr">
        <is>
          <t>Control robusto y verificado</t>
        </is>
      </c>
      <c r="F5" s="53" t="n"/>
    </row>
    <row r="6" ht="25" customHeight="1" s="57">
      <c r="A6" s="8" t="n">
        <v>2</v>
      </c>
      <c r="B6" s="54" t="inlineStr">
        <is>
          <t>Improbable</t>
        </is>
      </c>
      <c r="C6" s="54" t="inlineStr">
        <is>
          <t>1 vez cada 5 a 10 años</t>
        </is>
      </c>
      <c r="D6" s="54" t="inlineStr">
        <is>
          <t>Ha ocurrido en el sector, no aquí</t>
        </is>
      </c>
      <c r="E6" s="54" t="inlineStr">
        <is>
          <t>Control funciona, desviaciones menores</t>
        </is>
      </c>
      <c r="F6" s="53" t="n"/>
    </row>
    <row r="7" ht="25" customHeight="1" s="57">
      <c r="A7" s="8" t="n">
        <v>3</v>
      </c>
      <c r="B7" s="54" t="inlineStr">
        <is>
          <t>Posible</t>
        </is>
      </c>
      <c r="C7" s="54" t="inlineStr">
        <is>
          <t>1 vez cada 1 a 5 años</t>
        </is>
      </c>
      <c r="D7" s="54" t="inlineStr">
        <is>
          <t>Ya ocurrió al menos una vez aquí</t>
        </is>
      </c>
      <c r="E7" s="54" t="inlineStr">
        <is>
          <t>Control existe, cumplimiento irregular</t>
        </is>
      </c>
      <c r="F7" s="53" t="n"/>
    </row>
    <row r="8" ht="25" customHeight="1" s="57">
      <c r="A8" s="8" t="n">
        <v>4</v>
      </c>
      <c r="B8" s="54" t="inlineStr">
        <is>
          <t>Probable</t>
        </is>
      </c>
      <c r="C8" s="54" t="inlineStr">
        <is>
          <t>Varias veces al año</t>
        </is>
      </c>
      <c r="D8" s="54" t="inlineStr">
        <is>
          <t>Recurrente; hay casi-accidentes</t>
        </is>
      </c>
      <c r="E8" s="54" t="inlineStr">
        <is>
          <t>Control débil o informal</t>
        </is>
      </c>
      <c r="F8" s="53" t="n"/>
    </row>
    <row r="9" ht="25" customHeight="1" s="57">
      <c r="A9" s="8" t="n">
        <v>5</v>
      </c>
      <c r="B9" s="54" t="inlineStr">
        <is>
          <t>Casi seguro</t>
        </is>
      </c>
      <c r="C9" s="54" t="inlineStr">
        <is>
          <t>Mensual o más frecuente</t>
        </is>
      </c>
      <c r="D9" s="54" t="inlineStr">
        <is>
          <t>Es parte del día a día</t>
        </is>
      </c>
      <c r="E9" s="54" t="inlineStr">
        <is>
          <t>No hay control o está fuera de servicio</t>
        </is>
      </c>
      <c r="F9" s="53" t="n"/>
    </row>
    <row r="11" ht="20" customHeight="1" s="57">
      <c r="A11" s="56" t="inlineStr">
        <is>
          <t xml:space="preserve">  IMPACTO — se toma el PEOR de los criterios</t>
        </is>
      </c>
    </row>
    <row r="12" ht="26" customHeight="1" s="57">
      <c r="A12" s="51" t="inlineStr">
        <is>
          <t>Valor</t>
        </is>
      </c>
      <c r="B12" s="51" t="inlineStr">
        <is>
          <t>Descriptor</t>
        </is>
      </c>
      <c r="C12" s="51" t="inlineStr">
        <is>
          <t>Personas</t>
        </is>
      </c>
      <c r="D12" s="51" t="inlineStr">
        <is>
          <t>Operación y continuidad</t>
        </is>
      </c>
      <c r="E12" s="51" t="inlineStr">
        <is>
          <t>Económico</t>
        </is>
      </c>
      <c r="F12" s="51" t="inlineStr">
        <is>
          <t>Legal y reputacional</t>
        </is>
      </c>
    </row>
    <row r="13" ht="25" customHeight="1" s="57">
      <c r="A13" s="8" t="n">
        <v>1</v>
      </c>
      <c r="B13" s="54" t="inlineStr">
        <is>
          <t>Insignificante</t>
        </is>
      </c>
      <c r="C13" s="54" t="inlineStr">
        <is>
          <t>Sin lesión</t>
        </is>
      </c>
      <c r="D13" s="54" t="inlineStr">
        <is>
          <t>Sin afectación del servicio</t>
        </is>
      </c>
      <c r="E13" s="54" t="inlineStr">
        <is>
          <t>Pérdida marginal</t>
        </is>
      </c>
      <c r="F13" s="54" t="inlineStr">
        <is>
          <t>Sin consecuencia externa</t>
        </is>
      </c>
    </row>
    <row r="14" ht="25" customHeight="1" s="57">
      <c r="A14" s="8" t="n">
        <v>2</v>
      </c>
      <c r="B14" s="54" t="inlineStr">
        <is>
          <t>Menor</t>
        </is>
      </c>
      <c r="C14" s="54" t="inlineStr">
        <is>
          <t>Lesión leve sin incapacidad</t>
        </is>
      </c>
      <c r="D14" s="54" t="inlineStr">
        <is>
          <t>Retraso de horas</t>
        </is>
      </c>
      <c r="E14" s="54" t="inlineStr">
        <is>
          <t>Cubierta por el presupuesto</t>
        </is>
      </c>
      <c r="F14" s="54" t="inlineStr">
        <is>
          <t>Observación de auditoría</t>
        </is>
      </c>
    </row>
    <row r="15" ht="25" customHeight="1" s="57">
      <c r="A15" s="8" t="n">
        <v>3</v>
      </c>
      <c r="B15" s="54" t="inlineStr">
        <is>
          <t>Moderado</t>
        </is>
      </c>
      <c r="C15" s="54" t="inlineStr">
        <is>
          <t>Incapacidad temporal</t>
        </is>
      </c>
      <c r="D15" s="54" t="inlineStr">
        <is>
          <t>Paro de un turno o proceso</t>
        </is>
      </c>
      <c r="E15" s="54" t="inlineStr">
        <is>
          <t>Afecta el resultado del mes</t>
        </is>
      </c>
      <c r="F15" s="54" t="inlineStr">
        <is>
          <t>Requerimiento de autoridad o reclamo</t>
        </is>
      </c>
    </row>
    <row r="16" ht="25" customHeight="1" s="57">
      <c r="A16" s="8" t="n">
        <v>4</v>
      </c>
      <c r="B16" s="54" t="inlineStr">
        <is>
          <t>Mayor</t>
        </is>
      </c>
      <c r="C16" s="54" t="inlineStr">
        <is>
          <t>Lesión grave o varios lesionados</t>
        </is>
      </c>
      <c r="D16" s="54" t="inlineStr">
        <is>
          <t>Paro de varios días</t>
        </is>
      </c>
      <c r="E16" s="54" t="inlineStr">
        <is>
          <t>Supera el deducible; afecta el año</t>
        </is>
      </c>
      <c r="F16" s="54" t="inlineStr">
        <is>
          <t>Sanción y daño reputacional</t>
        </is>
      </c>
    </row>
    <row r="17" ht="25" customHeight="1" s="57">
      <c r="A17" s="8" t="n">
        <v>5</v>
      </c>
      <c r="B17" s="54" t="inlineStr">
        <is>
          <t>Catastrófico</t>
        </is>
      </c>
      <c r="C17" s="54" t="inlineStr">
        <is>
          <t>Una o varias fatalidades</t>
        </is>
      </c>
      <c r="D17" s="54" t="inlineStr">
        <is>
          <t>Pérdida del CEDI</t>
        </is>
      </c>
      <c r="E17" s="54" t="inlineStr">
        <is>
          <t>Pérdida total o no asegurada</t>
        </is>
      </c>
      <c r="F17" s="54" t="inlineStr">
        <is>
          <t>Cierre, responsabilidad penal, retiro masivo de producto</t>
        </is>
      </c>
    </row>
    <row r="19" ht="20" customHeight="1" s="57">
      <c r="A19" s="56" t="inlineStr">
        <is>
          <t xml:space="preserve">  NIVEL DE RIESGO → CADA CUÁNTO REVISAR, EN CUÁNTO ACTUAR Y QUIÉN LO ACEPTA</t>
        </is>
      </c>
    </row>
    <row r="20" ht="30" customHeight="1" s="57">
      <c r="A20" s="51" t="inlineStr">
        <is>
          <t>Nivel</t>
        </is>
      </c>
      <c r="B20" s="51" t="inlineStr">
        <is>
          <t>Rango (P × I)</t>
        </is>
      </c>
      <c r="C20" s="51" t="inlineStr">
        <is>
          <t>Frecuencia mínima de verificación</t>
        </is>
      </c>
      <c r="D20" s="51" t="inlineStr">
        <is>
          <t>Reevaluar el riesgo</t>
        </is>
      </c>
      <c r="E20" s="51" t="inlineStr">
        <is>
          <t>Plazo del plan de acción</t>
        </is>
      </c>
      <c r="F20" s="51" t="inlineStr">
        <is>
          <t>Quién acepta el riesgo</t>
        </is>
      </c>
    </row>
    <row r="21" ht="37.5" customHeight="1" s="57">
      <c r="A21" s="26" t="inlineStr">
        <is>
          <t>Extremo</t>
        </is>
      </c>
      <c r="B21" s="27" t="inlineStr">
        <is>
          <t>20 - 25</t>
        </is>
      </c>
      <c r="C21" s="54" t="inlineStr">
        <is>
          <t>Diaria o por turno + inspección formal semanal</t>
        </is>
      </c>
      <c r="D21" s="54" t="inlineStr">
        <is>
          <t>Mensual</t>
        </is>
      </c>
      <c r="E21" s="54" t="inlineStr">
        <is>
          <t>≤ 15 días · se interviene o se suspende la actividad</t>
        </is>
      </c>
      <c r="F21" s="54" t="inlineStr">
        <is>
          <t>Gerencia / Dirección</t>
        </is>
      </c>
    </row>
    <row r="22" ht="28" customHeight="1" s="57">
      <c r="A22" s="28" t="inlineStr">
        <is>
          <t>Alto</t>
        </is>
      </c>
      <c r="B22" s="27" t="inlineStr">
        <is>
          <t>12 - 16</t>
        </is>
      </c>
      <c r="C22" s="54" t="inlineStr">
        <is>
          <t>Semanal + inspección formal mensual</t>
        </is>
      </c>
      <c r="D22" s="54" t="inlineStr">
        <is>
          <t>Trimestral</t>
        </is>
      </c>
      <c r="E22" s="54" t="inlineStr">
        <is>
          <t>≤ 30 días</t>
        </is>
      </c>
      <c r="F22" s="54" t="inlineStr">
        <is>
          <t>Jefe de CEDI con visto bueno de Seguridad y Salud en el Trabajo</t>
        </is>
      </c>
    </row>
    <row r="23" ht="28" customHeight="1" s="57">
      <c r="A23" s="29" t="inlineStr">
        <is>
          <t>Medio</t>
        </is>
      </c>
      <c r="B23" s="27" t="inlineStr">
        <is>
          <t>6 - 10</t>
        </is>
      </c>
      <c r="C23" s="54" t="inlineStr">
        <is>
          <t>Mensual (operativo) o trimestral (estructural)</t>
        </is>
      </c>
      <c r="D23" s="54" t="inlineStr">
        <is>
          <t>Semestral</t>
        </is>
      </c>
      <c r="E23" s="54" t="inlineStr">
        <is>
          <t>≤ 90 días</t>
        </is>
      </c>
      <c r="F23" s="54" t="inlineStr">
        <is>
          <t>Jefe de CEDI</t>
        </is>
      </c>
    </row>
    <row r="24" ht="28" customHeight="1" s="57">
      <c r="A24" s="30" t="inlineStr">
        <is>
          <t>Bajo</t>
        </is>
      </c>
      <c r="B24" s="27" t="inlineStr">
        <is>
          <t>3 - 5</t>
        </is>
      </c>
      <c r="C24" s="54" t="inlineStr">
        <is>
          <t>Semestral</t>
        </is>
      </c>
      <c r="D24" s="54" t="inlineStr">
        <is>
          <t>Anual</t>
        </is>
      </c>
      <c r="E24" s="54" t="inlineStr">
        <is>
          <t>Siguiente ciclo presupuestal</t>
        </is>
      </c>
      <c r="F24" s="54" t="inlineStr">
        <is>
          <t>Coordinador del proceso</t>
        </is>
      </c>
    </row>
    <row r="25" ht="28" customHeight="1" s="57">
      <c r="A25" s="31" t="inlineStr">
        <is>
          <t>Muy bajo</t>
        </is>
      </c>
      <c r="B25" s="27" t="inlineStr">
        <is>
          <t>1 - 2</t>
        </is>
      </c>
      <c r="C25" s="54" t="inlineStr">
        <is>
          <t>Anual</t>
        </is>
      </c>
      <c r="D25" s="54" t="inlineStr">
        <is>
          <t>Anual</t>
        </is>
      </c>
      <c r="E25" s="54" t="inlineStr">
        <is>
          <t>Solo monitoreo</t>
        </is>
      </c>
      <c r="F25" s="54" t="inlineStr">
        <is>
          <t>Coordinador del proceso</t>
        </is>
      </c>
    </row>
    <row r="27" ht="20" customHeight="1" s="57">
      <c r="A27" s="56" t="inlineStr">
        <is>
          <t xml:space="preserve">  MATRIZ 5 × 5   (filas = Probabilidad · columnas = Impacto)</t>
        </is>
      </c>
    </row>
    <row r="28">
      <c r="A28" s="51" t="inlineStr">
        <is>
          <t>P \ I</t>
        </is>
      </c>
      <c r="B28" s="51" t="n">
        <v>1</v>
      </c>
      <c r="C28" s="51" t="n">
        <v>2</v>
      </c>
      <c r="D28" s="51" t="n">
        <v>3</v>
      </c>
      <c r="E28" s="51" t="n">
        <v>4</v>
      </c>
      <c r="F28" s="51" t="n">
        <v>5</v>
      </c>
    </row>
    <row r="29" ht="18" customHeight="1" s="57">
      <c r="A29" s="51" t="n">
        <v>5</v>
      </c>
      <c r="B29" s="32" t="n">
        <v>5</v>
      </c>
      <c r="C29" s="33" t="n">
        <v>10</v>
      </c>
      <c r="D29" s="34" t="n">
        <v>15</v>
      </c>
      <c r="E29" s="35" t="n">
        <v>20</v>
      </c>
      <c r="F29" s="35" t="n">
        <v>25</v>
      </c>
    </row>
    <row r="30" ht="18" customHeight="1" s="57">
      <c r="A30" s="51" t="n">
        <v>4</v>
      </c>
      <c r="B30" s="32" t="n">
        <v>4</v>
      </c>
      <c r="C30" s="33" t="n">
        <v>8</v>
      </c>
      <c r="D30" s="34" t="n">
        <v>12</v>
      </c>
      <c r="E30" s="34" t="n">
        <v>16</v>
      </c>
      <c r="F30" s="35" t="n">
        <v>20</v>
      </c>
    </row>
    <row r="31" ht="18" customHeight="1" s="57">
      <c r="A31" s="51" t="n">
        <v>3</v>
      </c>
      <c r="B31" s="32" t="n">
        <v>3</v>
      </c>
      <c r="C31" s="33" t="n">
        <v>6</v>
      </c>
      <c r="D31" s="33" t="n">
        <v>9</v>
      </c>
      <c r="E31" s="34" t="n">
        <v>12</v>
      </c>
      <c r="F31" s="34" t="n">
        <v>15</v>
      </c>
    </row>
    <row r="32" ht="18" customHeight="1" s="57">
      <c r="A32" s="51" t="n">
        <v>2</v>
      </c>
      <c r="B32" s="36" t="n">
        <v>2</v>
      </c>
      <c r="C32" s="32" t="n">
        <v>4</v>
      </c>
      <c r="D32" s="33" t="n">
        <v>6</v>
      </c>
      <c r="E32" s="33" t="n">
        <v>8</v>
      </c>
      <c r="F32" s="33" t="n">
        <v>10</v>
      </c>
    </row>
    <row r="33" ht="18" customHeight="1" s="57">
      <c r="A33" s="51" t="n">
        <v>1</v>
      </c>
      <c r="B33" s="36" t="n">
        <v>1</v>
      </c>
      <c r="C33" s="36" t="n">
        <v>2</v>
      </c>
      <c r="D33" s="32" t="n">
        <v>3</v>
      </c>
      <c r="E33" s="32" t="n">
        <v>4</v>
      </c>
      <c r="F33" s="32" t="n">
        <v>5</v>
      </c>
    </row>
    <row r="34">
      <c r="A34" s="60" t="inlineStr">
        <is>
          <t>Si el escenario puede causar una fatalidad, califique el impacto en 5 aunque la probabilidad sea baja: ese riesgo se gestiona por severidad, no por frecuencia.</t>
        </is>
      </c>
    </row>
    <row r="36" ht="20" customHeight="1" s="57">
      <c r="A36" s="56" t="inlineStr">
        <is>
          <t xml:space="preserve">  DISPARADORES DE REVISIÓN EXTRAORDINARIA — obligan a revisar de inmediato, sin esperar la frecuencia</t>
        </is>
      </c>
    </row>
    <row r="37" ht="22" customHeight="1" s="57">
      <c r="A37" s="51" t="inlineStr">
        <is>
          <t>Disparador</t>
        </is>
      </c>
      <c r="B37" s="51" t="inlineStr">
        <is>
          <t>Acción inmediata exigida</t>
        </is>
      </c>
      <c r="C37" s="52" t="n"/>
      <c r="D37" s="52" t="n"/>
      <c r="E37" s="52" t="n"/>
      <c r="F37" s="53" t="n"/>
    </row>
    <row r="38" ht="25" customHeight="1" s="57">
      <c r="A38" s="3" t="inlineStr">
        <is>
          <t>Sismo sentido</t>
        </is>
      </c>
      <c r="B38" s="54" t="inlineStr">
        <is>
          <t>Inspección estructural y de estantería antes de reanudar; no se reingresa personal sin concepto técnico.</t>
        </is>
      </c>
      <c r="C38" s="52" t="n"/>
      <c r="D38" s="52" t="n"/>
      <c r="E38" s="52" t="n"/>
      <c r="F38" s="53" t="n"/>
    </row>
    <row r="39" ht="25" customHeight="1" s="57">
      <c r="A39" s="3" t="inlineStr">
        <is>
          <t>Incendio o conato</t>
        </is>
      </c>
      <c r="B39" s="54" t="inlineStr">
        <is>
          <t>Investigación de causa, revisión de la carga de fuego y verificación integral del sistema de protección.</t>
        </is>
      </c>
      <c r="C39" s="52" t="n"/>
      <c r="D39" s="52" t="n"/>
      <c r="E39" s="52" t="n"/>
      <c r="F39" s="53" t="n"/>
    </row>
    <row r="40" ht="37.5" customHeight="1" s="57">
      <c r="A40" s="3" t="inlineStr">
        <is>
          <t>Impacto contra estantería</t>
        </is>
      </c>
      <c r="B40" s="54" t="inlineStr">
        <is>
          <t>Descarga inmediata del módulo, evaluación verde / ámbar / rojo y reparación con repuesto original.</t>
        </is>
      </c>
      <c r="C40" s="52" t="n"/>
      <c r="D40" s="52" t="n"/>
      <c r="E40" s="52" t="n"/>
      <c r="F40" s="53" t="n"/>
    </row>
    <row r="41" ht="62.5" customHeight="1" s="57">
      <c r="A41" s="3" t="inlineStr">
        <is>
          <t>Accidente grave o casi-accidente de alto potencial</t>
        </is>
      </c>
      <c r="B41" s="54" t="inlineStr">
        <is>
          <t>Causa raíz y recalificación de todos los riesgos de la misma familia.</t>
        </is>
      </c>
      <c r="C41" s="52" t="n"/>
      <c r="D41" s="52" t="n"/>
      <c r="E41" s="52" t="n"/>
      <c r="F41" s="53" t="n"/>
    </row>
    <row r="42" ht="25" customHeight="1" s="57">
      <c r="A42" s="3" t="inlineStr">
        <is>
          <t>Inundación o vendaval</t>
        </is>
      </c>
      <c r="B42" s="54" t="inlineStr">
        <is>
          <t>Revisión de cubierta, drenajes, instalación eléctrica y producto almacenado en piso.</t>
        </is>
      </c>
      <c r="C42" s="52" t="n"/>
      <c r="D42" s="52" t="n"/>
      <c r="E42" s="52" t="n"/>
      <c r="F42" s="53" t="n"/>
    </row>
    <row r="43" ht="62.5" customHeight="1" s="57">
      <c r="A43" s="3" t="inlineStr">
        <is>
          <t>Cambio de la distribución en planta, de altura o de sistema de almacenamiento</t>
        </is>
      </c>
      <c r="B43" s="54" t="inlineStr">
        <is>
          <t>Recálculo estructural, revisión del diseño contra incendio y actualización de planos y placas.</t>
        </is>
      </c>
      <c r="C43" s="52" t="n"/>
      <c r="D43" s="52" t="n"/>
      <c r="E43" s="52" t="n"/>
      <c r="F43" s="53" t="n"/>
    </row>
    <row r="44" ht="62.5" customHeight="1" s="57">
      <c r="A44" s="3" t="inlineStr">
        <is>
          <t>Cambio de portafolio (plásticos, aerosoles, litio, químicos)</t>
        </is>
      </c>
      <c r="B44" s="54" t="inlineStr">
        <is>
          <t>Reclasificación de la mercancía y validación de rociadores y segregación.</t>
        </is>
      </c>
      <c r="C44" s="52" t="n"/>
      <c r="D44" s="52" t="n"/>
      <c r="E44" s="52" t="n"/>
      <c r="F44" s="53" t="n"/>
    </row>
    <row r="45" ht="37.5" customHeight="1" s="57">
      <c r="A45" s="3" t="inlineStr">
        <is>
          <t>Nuevo tipo de equipo de manipulación</t>
        </is>
      </c>
      <c r="B45" s="54" t="inlineStr">
        <is>
          <t>Revisión de flujos, ancho de pasillo, planitud del piso y certificación de operadores.</t>
        </is>
      </c>
      <c r="C45" s="52" t="n"/>
      <c r="D45" s="52" t="n"/>
      <c r="E45" s="52" t="n"/>
      <c r="F45" s="53" t="n"/>
    </row>
    <row r="46" ht="50" customHeight="1" s="57">
      <c r="A46" s="3" t="inlineStr">
        <is>
          <t>Pico estacional o alza sostenida del volumen</t>
        </is>
      </c>
      <c r="B46" s="54" t="inlineStr">
        <is>
          <t>Revisión de ocupación, capacidad, personal temporal, inducción y bloqueo de pasillos.</t>
        </is>
      </c>
      <c r="C46" s="52" t="n"/>
      <c r="D46" s="52" t="n"/>
      <c r="E46" s="52" t="n"/>
      <c r="F46" s="53" t="n"/>
    </row>
    <row r="47" ht="62.5" customHeight="1" s="57">
      <c r="A47" s="3" t="inlineStr">
        <is>
          <t>Cambio de contratista crítico, operador logístico o transportista</t>
        </is>
      </c>
      <c r="B47" s="54" t="inlineStr">
        <is>
          <t>Homologación, auditoría inicial y revisión de responsabilidades.</t>
        </is>
      </c>
      <c r="C47" s="52" t="n"/>
      <c r="D47" s="52" t="n"/>
      <c r="E47" s="52" t="n"/>
      <c r="F47" s="53" t="n"/>
    </row>
    <row r="48" ht="75" customHeight="1" s="57">
      <c r="A48" s="3" t="inlineStr">
        <is>
          <t>Cambio normativo o nueva exigencia de la aseguradora o del cliente</t>
        </is>
      </c>
      <c r="B48" s="54" t="inlineStr">
        <is>
          <t>Actualización de la matriz legal y cierre de las nuevas recomendaciones.</t>
        </is>
      </c>
      <c r="C48" s="52" t="n"/>
      <c r="D48" s="52" t="n"/>
      <c r="E48" s="52" t="n"/>
      <c r="F48" s="53" t="n"/>
    </row>
    <row r="49" ht="75" customHeight="1" s="57">
      <c r="A49" s="3" t="inlineStr">
        <is>
          <t>Siniestro relevante en otra instalación de la compañía o del sector</t>
        </is>
      </c>
      <c r="B49" s="54" t="inlineStr">
        <is>
          <t>Autoevaluación del mismo escenario y verificación de los controles equivalentes.</t>
        </is>
      </c>
      <c r="C49" s="52" t="n"/>
      <c r="D49" s="52" t="n"/>
      <c r="E49" s="52" t="n"/>
      <c r="F49" s="53" t="n"/>
    </row>
    <row r="51" ht="20" customHeight="1" s="57">
      <c r="A51" s="56" t="inlineStr">
        <is>
          <t xml:space="preserve">  VERIFICACIONES PLURIANUALES — no caben en el ciclo diario o mensual pero son obligatorias</t>
        </is>
      </c>
    </row>
    <row r="52" ht="22" customHeight="1" s="57">
      <c r="A52" s="51" t="inlineStr">
        <is>
          <t>Cada</t>
        </is>
      </c>
      <c r="B52" s="51" t="inlineStr">
        <is>
          <t>Verificación</t>
        </is>
      </c>
      <c r="C52" s="53" t="n"/>
      <c r="D52" s="51" t="inlineStr">
        <is>
          <t>Norma</t>
        </is>
      </c>
      <c r="E52" s="52" t="n"/>
      <c r="F52" s="53" t="n"/>
    </row>
    <row r="53" ht="22" customHeight="1" s="57">
      <c r="A53" s="8" t="inlineStr">
        <is>
          <t>5 años</t>
        </is>
      </c>
      <c r="B53" s="54" t="inlineStr">
        <is>
          <t>Inspección interna de la tubería del sistema de rociadores</t>
        </is>
      </c>
      <c r="C53" s="53" t="n"/>
      <c r="D53" s="54" t="inlineStr">
        <is>
          <t>NFPA 25</t>
        </is>
      </c>
      <c r="E53" s="52" t="n"/>
      <c r="F53" s="53" t="n"/>
    </row>
    <row r="54" ht="22" customHeight="1" s="57">
      <c r="A54" s="8" t="inlineStr">
        <is>
          <t>5 años</t>
        </is>
      </c>
      <c r="B54" s="54" t="inlineStr">
        <is>
          <t>Prueba de presión o reemplazo de mangueras contra incendio</t>
        </is>
      </c>
      <c r="C54" s="53" t="n"/>
      <c r="D54" s="54" t="inlineStr">
        <is>
          <t>NFPA 1962</t>
        </is>
      </c>
      <c r="E54" s="52" t="n"/>
      <c r="F54" s="53" t="n"/>
    </row>
    <row r="55" ht="22" customHeight="1" s="57">
      <c r="A55" s="8" t="inlineStr">
        <is>
          <t>5 a 12 años</t>
        </is>
      </c>
      <c r="B55" s="54" t="inlineStr">
        <is>
          <t>Prueba hidrostática de extintores según el tipo de agente</t>
        </is>
      </c>
      <c r="C55" s="53" t="n"/>
      <c r="D55" s="54" t="inlineStr">
        <is>
          <t>NFPA 10</t>
        </is>
      </c>
      <c r="E55" s="52" t="n"/>
      <c r="F55" s="53" t="n"/>
    </row>
    <row r="56" ht="25" customHeight="1" s="57">
      <c r="A56" s="8" t="inlineStr">
        <is>
          <t>1 a 3 años</t>
        </is>
      </c>
      <c r="B56" s="54" t="inlineStr">
        <is>
          <t>Evaluación de vulnerabilidad estructural del edificio (y tras cada sismo)</t>
        </is>
      </c>
      <c r="C56" s="53" t="n"/>
      <c r="D56" s="54" t="inlineStr">
        <is>
          <t>NSR-10 / ASCE 41</t>
        </is>
      </c>
      <c r="E56" s="52" t="n"/>
      <c r="F56" s="53" t="n"/>
    </row>
    <row r="57" ht="25" customHeight="1" s="57">
      <c r="A57" s="8" t="inlineStr">
        <is>
          <t>2 a 3 años</t>
        </is>
      </c>
      <c r="B57" s="54" t="inlineStr">
        <is>
          <t>Medición de planitud del piso (perfilometría) en pasillos de operación</t>
        </is>
      </c>
      <c r="C57" s="53" t="n"/>
      <c r="D57" s="54" t="inlineStr">
        <is>
          <t>EN 15620 / TR34 / DIN 15185</t>
        </is>
      </c>
      <c r="E57" s="52" t="n"/>
      <c r="F57" s="53" t="n"/>
    </row>
    <row r="58" ht="22" customHeight="1" s="57">
      <c r="A58" s="8" t="inlineStr">
        <is>
          <t>3 años</t>
        </is>
      </c>
      <c r="B58" s="54" t="inlineStr">
        <is>
          <t>Recertificación de operadores de equipos de manipulación</t>
        </is>
      </c>
      <c r="C58" s="53" t="n"/>
      <c r="D58" s="54" t="inlineStr">
        <is>
          <t>OSHA 1910.178(l)(4)</t>
        </is>
      </c>
      <c r="E58" s="52" t="n"/>
      <c r="F58" s="53" t="n"/>
    </row>
    <row r="59" ht="22" customHeight="1" s="57">
      <c r="A59" s="8" t="inlineStr">
        <is>
          <t>1 a 2 años</t>
        </is>
      </c>
      <c r="B59" s="54" t="inlineStr">
        <is>
          <t>Prueba de intrusión y mediciones higiénicas</t>
        </is>
      </c>
      <c r="C59" s="53" t="n"/>
      <c r="D59" s="54" t="inlineStr">
        <is>
          <t>ISO 27001 / SG-SST</t>
        </is>
      </c>
      <c r="E59" s="52" t="n"/>
      <c r="F59" s="53" t="n"/>
    </row>
    <row r="60" ht="25" customHeight="1" s="57">
      <c r="A60" s="8" t="inlineStr">
        <is>
          <t>Ante cambio</t>
        </is>
      </c>
      <c r="B60" s="54" t="inlineStr">
        <is>
          <t>Estudio de capacidad del piso al cambiar de sistema de almacenamiento o de equipos</t>
        </is>
      </c>
      <c r="C60" s="53" t="n"/>
      <c r="D60" s="54" t="inlineStr">
        <is>
          <t>EN 15620</t>
        </is>
      </c>
      <c r="E60" s="52" t="n"/>
      <c r="F60" s="53" t="n"/>
    </row>
  </sheetData>
  <mergeCells count="44">
    <mergeCell ref="B54:C54"/>
    <mergeCell ref="B47:F47"/>
    <mergeCell ref="B59:C59"/>
    <mergeCell ref="A27:F27"/>
    <mergeCell ref="E5:F5"/>
    <mergeCell ref="B46:F46"/>
    <mergeCell ref="A3:F3"/>
    <mergeCell ref="B56:C56"/>
    <mergeCell ref="D53:F53"/>
    <mergeCell ref="E8:F8"/>
    <mergeCell ref="B58:C58"/>
    <mergeCell ref="E4:F4"/>
    <mergeCell ref="B43:F43"/>
    <mergeCell ref="B39:F39"/>
    <mergeCell ref="B52:C52"/>
    <mergeCell ref="B48:F48"/>
    <mergeCell ref="B42:F42"/>
    <mergeCell ref="D56:F56"/>
    <mergeCell ref="D58:F58"/>
    <mergeCell ref="B60:C60"/>
    <mergeCell ref="B57:C57"/>
    <mergeCell ref="E9:F9"/>
    <mergeCell ref="B53:C53"/>
    <mergeCell ref="D55:F55"/>
    <mergeCell ref="B44:F44"/>
    <mergeCell ref="E6:F6"/>
    <mergeCell ref="B38:F38"/>
    <mergeCell ref="A19:F19"/>
    <mergeCell ref="D54:F54"/>
    <mergeCell ref="B37:F37"/>
    <mergeCell ref="A34:F34"/>
    <mergeCell ref="D59:F59"/>
    <mergeCell ref="D60:F60"/>
    <mergeCell ref="B40:F40"/>
    <mergeCell ref="B49:F49"/>
    <mergeCell ref="B55:C55"/>
    <mergeCell ref="A11:F11"/>
    <mergeCell ref="A51:F51"/>
    <mergeCell ref="A36:F36"/>
    <mergeCell ref="E7:F7"/>
    <mergeCell ref="B45:F45"/>
    <mergeCell ref="D52:F52"/>
    <mergeCell ref="B41:F41"/>
    <mergeCell ref="D57:F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L36"/>
  <sheetViews>
    <sheetView showGridLines="0" zoomScale="70" zoomScaleNormal="70" workbookViewId="0">
      <pane ySplit="1" topLeftCell="A2" activePane="bottomLeft" state="frozen"/>
      <selection pane="bottomLeft" activeCell="B2" sqref="B2"/>
    </sheetView>
  </sheetViews>
  <sheetFormatPr baseColWidth="10" defaultColWidth="8.7265625" defaultRowHeight="14.5"/>
  <cols>
    <col width="6" customWidth="1" style="57" min="1" max="1"/>
    <col width="11" customWidth="1" style="57" min="2" max="2"/>
    <col width="42" customWidth="1" style="57" min="3" max="3"/>
    <col width="11" customWidth="1" style="57" min="4" max="4"/>
    <col width="48" customWidth="1" style="57" min="5" max="5"/>
    <col width="15" customWidth="1" style="57" min="6" max="6"/>
    <col width="20" customWidth="1" style="57" min="7" max="7"/>
    <col width="13" customWidth="1" style="57" min="8" max="9"/>
    <col width="9" customWidth="1" style="57" min="10" max="10"/>
    <col width="30" customWidth="1" style="57" min="11" max="11"/>
    <col width="12" customWidth="1" style="57" min="12" max="12"/>
  </cols>
  <sheetData>
    <row r="1" ht="40" customHeight="1" s="57">
      <c r="A1" s="51" t="inlineStr">
        <is>
          <t>N°</t>
        </is>
      </c>
      <c r="B1" s="51" t="inlineStr">
        <is>
          <t>ID riesgo</t>
        </is>
      </c>
      <c r="C1" s="51" t="inlineStr">
        <is>
          <t>Hallazgo detectado</t>
        </is>
      </c>
      <c r="D1" s="51" t="inlineStr">
        <is>
          <t>Nivel</t>
        </is>
      </c>
      <c r="E1" s="51" t="inlineStr">
        <is>
          <t>Acción correctiva o preventiva</t>
        </is>
      </c>
      <c r="F1" s="51" t="inlineStr">
        <is>
          <t>Tipo de acción</t>
        </is>
      </c>
      <c r="G1" s="51" t="inlineStr">
        <is>
          <t>Responsable</t>
        </is>
      </c>
      <c r="H1" s="51" t="inlineStr">
        <is>
          <t>Fecha compromiso</t>
        </is>
      </c>
      <c r="I1" s="51" t="inlineStr">
        <is>
          <t>Fecha de cierre</t>
        </is>
      </c>
      <c r="J1" s="51" t="inlineStr">
        <is>
          <t>% avance</t>
        </is>
      </c>
      <c r="K1" s="51" t="inlineStr">
        <is>
          <t>Verificación de eficacia (cómo se comprueba)</t>
        </is>
      </c>
      <c r="L1" s="51" t="inlineStr">
        <is>
          <t>Estado</t>
        </is>
      </c>
    </row>
    <row r="2" ht="28" customHeight="1" s="57">
      <c r="A2" s="27" t="n">
        <v>1</v>
      </c>
      <c r="B2" s="61" t="n"/>
      <c r="C2" s="12" t="n"/>
      <c r="D2" s="11" t="n"/>
      <c r="E2" s="12" t="n"/>
      <c r="F2" s="11" t="n"/>
      <c r="G2" s="12" t="n"/>
      <c r="H2" s="13" t="n"/>
      <c r="I2" s="13" t="n"/>
      <c r="J2" s="37" t="n"/>
      <c r="K2" s="12" t="n"/>
      <c r="L2" s="11" t="n"/>
    </row>
    <row r="3" ht="28" customHeight="1" s="57">
      <c r="A3" s="27" t="n">
        <v>2</v>
      </c>
      <c r="B3" s="11" t="n"/>
      <c r="C3" s="12" t="n"/>
      <c r="D3" s="11" t="n"/>
      <c r="E3" s="12" t="n"/>
      <c r="F3" s="11" t="n"/>
      <c r="G3" s="12" t="n"/>
      <c r="H3" s="13" t="n"/>
      <c r="I3" s="13" t="n"/>
      <c r="J3" s="37" t="n"/>
      <c r="K3" s="12" t="n"/>
      <c r="L3" s="11" t="n"/>
    </row>
    <row r="4" ht="28" customHeight="1" s="57">
      <c r="A4" s="27" t="n">
        <v>3</v>
      </c>
      <c r="B4" s="11" t="n"/>
      <c r="C4" s="12" t="n"/>
      <c r="D4" s="11" t="n"/>
      <c r="E4" s="12" t="n"/>
      <c r="F4" s="11" t="n"/>
      <c r="G4" s="12" t="n"/>
      <c r="H4" s="13" t="n"/>
      <c r="I4" s="13" t="n"/>
      <c r="J4" s="37" t="n"/>
      <c r="K4" s="12" t="n"/>
      <c r="L4" s="11" t="n"/>
    </row>
    <row r="5" ht="28" customHeight="1" s="57">
      <c r="A5" s="27" t="n">
        <v>4</v>
      </c>
      <c r="B5" s="11" t="n"/>
      <c r="C5" s="12" t="n"/>
      <c r="D5" s="11" t="n"/>
      <c r="E5" s="12" t="n"/>
      <c r="F5" s="11" t="n"/>
      <c r="G5" s="12" t="n"/>
      <c r="H5" s="13" t="n"/>
      <c r="I5" s="13" t="n"/>
      <c r="J5" s="37" t="n"/>
      <c r="K5" s="12" t="n"/>
      <c r="L5" s="11" t="n"/>
    </row>
    <row r="6" ht="28" customHeight="1" s="57">
      <c r="A6" s="27" t="n">
        <v>5</v>
      </c>
      <c r="B6" s="11" t="n"/>
      <c r="C6" s="12" t="n"/>
      <c r="D6" s="11" t="n"/>
      <c r="E6" s="12" t="n"/>
      <c r="F6" s="11" t="n"/>
      <c r="G6" s="12" t="n"/>
      <c r="H6" s="13" t="n"/>
      <c r="I6" s="13" t="n"/>
      <c r="J6" s="37" t="n"/>
      <c r="K6" s="12" t="n"/>
      <c r="L6" s="11" t="n"/>
    </row>
    <row r="7" ht="28" customHeight="1" s="57">
      <c r="A7" s="27" t="n">
        <v>6</v>
      </c>
      <c r="B7" s="11" t="n"/>
      <c r="C7" s="12" t="n"/>
      <c r="D7" s="11" t="n"/>
      <c r="E7" s="12" t="n"/>
      <c r="F7" s="11" t="n"/>
      <c r="G7" s="12" t="n"/>
      <c r="H7" s="13" t="n"/>
      <c r="I7" s="13" t="n"/>
      <c r="J7" s="37" t="n"/>
      <c r="K7" s="12" t="n"/>
      <c r="L7" s="11" t="n"/>
    </row>
    <row r="8" ht="28" customHeight="1" s="57">
      <c r="A8" s="27" t="n">
        <v>7</v>
      </c>
      <c r="B8" s="11" t="n"/>
      <c r="C8" s="12" t="n"/>
      <c r="D8" s="11" t="n"/>
      <c r="E8" s="12" t="n"/>
      <c r="F8" s="11" t="n"/>
      <c r="G8" s="12" t="n"/>
      <c r="H8" s="13" t="n"/>
      <c r="I8" s="13" t="n"/>
      <c r="J8" s="37" t="n"/>
      <c r="K8" s="12" t="n"/>
      <c r="L8" s="11" t="n"/>
    </row>
    <row r="9" ht="28" customHeight="1" s="57">
      <c r="A9" s="27" t="n">
        <v>8</v>
      </c>
      <c r="B9" s="11" t="n"/>
      <c r="C9" s="12" t="n"/>
      <c r="D9" s="11" t="n"/>
      <c r="E9" s="12" t="n"/>
      <c r="F9" s="11" t="n"/>
      <c r="G9" s="12" t="n"/>
      <c r="H9" s="13" t="n"/>
      <c r="I9" s="13" t="n"/>
      <c r="J9" s="37" t="n"/>
      <c r="K9" s="12" t="n"/>
      <c r="L9" s="11" t="n"/>
    </row>
    <row r="10" ht="28" customHeight="1" s="57">
      <c r="A10" s="27" t="n">
        <v>9</v>
      </c>
      <c r="B10" s="11" t="n"/>
      <c r="C10" s="12" t="n"/>
      <c r="D10" s="11" t="n"/>
      <c r="E10" s="12" t="n"/>
      <c r="F10" s="11" t="n"/>
      <c r="G10" s="12" t="n"/>
      <c r="H10" s="13" t="n"/>
      <c r="I10" s="13" t="n"/>
      <c r="J10" s="37" t="n"/>
      <c r="K10" s="12" t="n"/>
      <c r="L10" s="11" t="n"/>
    </row>
    <row r="11" ht="28" customHeight="1" s="57">
      <c r="A11" s="27" t="n">
        <v>10</v>
      </c>
      <c r="B11" s="11" t="n"/>
      <c r="C11" s="12" t="n"/>
      <c r="D11" s="11" t="n"/>
      <c r="E11" s="12" t="n"/>
      <c r="F11" s="11" t="n"/>
      <c r="G11" s="12" t="n"/>
      <c r="H11" s="13" t="n"/>
      <c r="I11" s="13" t="n"/>
      <c r="J11" s="37" t="n"/>
      <c r="K11" s="12" t="n"/>
      <c r="L11" s="11" t="n"/>
    </row>
    <row r="12" ht="28" customHeight="1" s="57">
      <c r="A12" s="27" t="n">
        <v>11</v>
      </c>
      <c r="B12" s="11" t="n"/>
      <c r="C12" s="12" t="n"/>
      <c r="D12" s="11" t="n"/>
      <c r="E12" s="12" t="n"/>
      <c r="F12" s="11" t="n"/>
      <c r="G12" s="12" t="n"/>
      <c r="H12" s="13" t="n"/>
      <c r="I12" s="13" t="n"/>
      <c r="J12" s="37" t="n"/>
      <c r="K12" s="12" t="n"/>
      <c r="L12" s="11" t="n"/>
    </row>
    <row r="13" ht="28" customHeight="1" s="57">
      <c r="A13" s="27" t="n">
        <v>12</v>
      </c>
      <c r="B13" s="11" t="n"/>
      <c r="C13" s="12" t="n"/>
      <c r="D13" s="11" t="n"/>
      <c r="E13" s="12" t="n"/>
      <c r="F13" s="11" t="n"/>
      <c r="G13" s="12" t="n"/>
      <c r="H13" s="13" t="n"/>
      <c r="I13" s="13" t="n"/>
      <c r="J13" s="37" t="n"/>
      <c r="K13" s="12" t="n"/>
      <c r="L13" s="11" t="n"/>
    </row>
    <row r="14" ht="28" customHeight="1" s="57">
      <c r="A14" s="27" t="n">
        <v>13</v>
      </c>
      <c r="B14" s="11" t="n"/>
      <c r="C14" s="12" t="n"/>
      <c r="D14" s="11" t="n"/>
      <c r="E14" s="12" t="n"/>
      <c r="F14" s="11" t="n"/>
      <c r="G14" s="12" t="n"/>
      <c r="H14" s="13" t="n"/>
      <c r="I14" s="13" t="n"/>
      <c r="J14" s="37" t="n"/>
      <c r="K14" s="12" t="n"/>
      <c r="L14" s="11" t="n"/>
    </row>
    <row r="15" ht="28" customHeight="1" s="57">
      <c r="A15" s="27" t="n">
        <v>14</v>
      </c>
      <c r="B15" s="11" t="n"/>
      <c r="C15" s="12" t="n"/>
      <c r="D15" s="11" t="n"/>
      <c r="E15" s="12" t="n"/>
      <c r="F15" s="11" t="n"/>
      <c r="G15" s="12" t="n"/>
      <c r="H15" s="13" t="n"/>
      <c r="I15" s="13" t="n"/>
      <c r="J15" s="37" t="n"/>
      <c r="K15" s="12" t="n"/>
      <c r="L15" s="11" t="n"/>
    </row>
    <row r="16" ht="28" customHeight="1" s="57">
      <c r="A16" s="27" t="n">
        <v>15</v>
      </c>
      <c r="B16" s="11" t="n"/>
      <c r="C16" s="12" t="n"/>
      <c r="D16" s="11" t="n"/>
      <c r="E16" s="12" t="n"/>
      <c r="F16" s="11" t="n"/>
      <c r="G16" s="12" t="n"/>
      <c r="H16" s="13" t="n"/>
      <c r="I16" s="13" t="n"/>
      <c r="J16" s="37" t="n"/>
      <c r="K16" s="12" t="n"/>
      <c r="L16" s="11" t="n"/>
    </row>
    <row r="17" ht="28" customHeight="1" s="57">
      <c r="A17" s="27" t="n">
        <v>16</v>
      </c>
      <c r="B17" s="11" t="n"/>
      <c r="C17" s="12" t="n"/>
      <c r="D17" s="11" t="n"/>
      <c r="E17" s="12" t="n"/>
      <c r="F17" s="11" t="n"/>
      <c r="G17" s="12" t="n"/>
      <c r="H17" s="13" t="n"/>
      <c r="I17" s="13" t="n"/>
      <c r="J17" s="37" t="n"/>
      <c r="K17" s="12" t="n"/>
      <c r="L17" s="11" t="n"/>
    </row>
    <row r="18" ht="28" customHeight="1" s="57">
      <c r="A18" s="27" t="n">
        <v>17</v>
      </c>
      <c r="B18" s="11" t="n"/>
      <c r="C18" s="12" t="n"/>
      <c r="D18" s="11" t="n"/>
      <c r="E18" s="12" t="n"/>
      <c r="F18" s="11" t="n"/>
      <c r="G18" s="12" t="n"/>
      <c r="H18" s="13" t="n"/>
      <c r="I18" s="13" t="n"/>
      <c r="J18" s="37" t="n"/>
      <c r="K18" s="12" t="n"/>
      <c r="L18" s="11" t="n"/>
    </row>
    <row r="19" ht="28" customHeight="1" s="57">
      <c r="A19" s="27" t="n">
        <v>18</v>
      </c>
      <c r="B19" s="11" t="n"/>
      <c r="C19" s="12" t="n"/>
      <c r="D19" s="11" t="n"/>
      <c r="E19" s="12" t="n"/>
      <c r="F19" s="11" t="n"/>
      <c r="G19" s="12" t="n"/>
      <c r="H19" s="13" t="n"/>
      <c r="I19" s="13" t="n"/>
      <c r="J19" s="37" t="n"/>
      <c r="K19" s="12" t="n"/>
      <c r="L19" s="11" t="n"/>
    </row>
    <row r="20" ht="28" customHeight="1" s="57">
      <c r="A20" s="27" t="n">
        <v>19</v>
      </c>
      <c r="B20" s="11" t="n"/>
      <c r="C20" s="12" t="n"/>
      <c r="D20" s="11" t="n"/>
      <c r="E20" s="12" t="n"/>
      <c r="F20" s="11" t="n"/>
      <c r="G20" s="12" t="n"/>
      <c r="H20" s="13" t="n"/>
      <c r="I20" s="13" t="n"/>
      <c r="J20" s="37" t="n"/>
      <c r="K20" s="12" t="n"/>
      <c r="L20" s="11" t="n"/>
    </row>
    <row r="21" ht="28" customHeight="1" s="57">
      <c r="A21" s="27" t="n">
        <v>20</v>
      </c>
      <c r="B21" s="11" t="n"/>
      <c r="C21" s="12" t="n"/>
      <c r="D21" s="11" t="n"/>
      <c r="E21" s="12" t="n"/>
      <c r="F21" s="11" t="n"/>
      <c r="G21" s="12" t="n"/>
      <c r="H21" s="13" t="n"/>
      <c r="I21" s="13" t="n"/>
      <c r="J21" s="37" t="n"/>
      <c r="K21" s="12" t="n"/>
      <c r="L21" s="11" t="n"/>
    </row>
    <row r="22" ht="28" customHeight="1" s="57">
      <c r="A22" s="27" t="n">
        <v>21</v>
      </c>
      <c r="B22" s="11" t="n"/>
      <c r="C22" s="12" t="n"/>
      <c r="D22" s="11" t="n"/>
      <c r="E22" s="12" t="n"/>
      <c r="F22" s="11" t="n"/>
      <c r="G22" s="12" t="n"/>
      <c r="H22" s="13" t="n"/>
      <c r="I22" s="13" t="n"/>
      <c r="J22" s="37" t="n"/>
      <c r="K22" s="12" t="n"/>
      <c r="L22" s="11" t="n"/>
    </row>
    <row r="23" ht="28" customHeight="1" s="57">
      <c r="A23" s="27" t="n">
        <v>22</v>
      </c>
      <c r="B23" s="11" t="n"/>
      <c r="C23" s="12" t="n"/>
      <c r="D23" s="11" t="n"/>
      <c r="E23" s="12" t="n"/>
      <c r="F23" s="11" t="n"/>
      <c r="G23" s="12" t="n"/>
      <c r="H23" s="13" t="n"/>
      <c r="I23" s="13" t="n"/>
      <c r="J23" s="37" t="n"/>
      <c r="K23" s="12" t="n"/>
      <c r="L23" s="11" t="n"/>
    </row>
    <row r="24" ht="28" customHeight="1" s="57">
      <c r="A24" s="27" t="n">
        <v>23</v>
      </c>
      <c r="B24" s="11" t="n"/>
      <c r="C24" s="12" t="n"/>
      <c r="D24" s="11" t="n"/>
      <c r="E24" s="12" t="n"/>
      <c r="F24" s="11" t="n"/>
      <c r="G24" s="12" t="n"/>
      <c r="H24" s="13" t="n"/>
      <c r="I24" s="13" t="n"/>
      <c r="J24" s="37" t="n"/>
      <c r="K24" s="12" t="n"/>
      <c r="L24" s="11" t="n"/>
    </row>
    <row r="25" ht="28" customHeight="1" s="57">
      <c r="A25" s="27" t="n">
        <v>24</v>
      </c>
      <c r="B25" s="11" t="n"/>
      <c r="C25" s="12" t="n"/>
      <c r="D25" s="11" t="n"/>
      <c r="E25" s="12" t="n"/>
      <c r="F25" s="11" t="n"/>
      <c r="G25" s="12" t="n"/>
      <c r="H25" s="13" t="n"/>
      <c r="I25" s="13" t="n"/>
      <c r="J25" s="37" t="n"/>
      <c r="K25" s="12" t="n"/>
      <c r="L25" s="11" t="n"/>
    </row>
    <row r="26" ht="28" customHeight="1" s="57">
      <c r="A26" s="27" t="n">
        <v>25</v>
      </c>
      <c r="B26" s="11" t="n"/>
      <c r="C26" s="12" t="n"/>
      <c r="D26" s="11" t="n"/>
      <c r="E26" s="12" t="n"/>
      <c r="F26" s="11" t="n"/>
      <c r="G26" s="12" t="n"/>
      <c r="H26" s="13" t="n"/>
      <c r="I26" s="13" t="n"/>
      <c r="J26" s="37" t="n"/>
      <c r="K26" s="12" t="n"/>
      <c r="L26" s="11" t="n"/>
    </row>
    <row r="27" ht="28" customHeight="1" s="57">
      <c r="A27" s="27" t="n">
        <v>26</v>
      </c>
      <c r="B27" s="11" t="n"/>
      <c r="C27" s="12" t="n"/>
      <c r="D27" s="11" t="n"/>
      <c r="E27" s="12" t="n"/>
      <c r="F27" s="11" t="n"/>
      <c r="G27" s="12" t="n"/>
      <c r="H27" s="13" t="n"/>
      <c r="I27" s="13" t="n"/>
      <c r="J27" s="37" t="n"/>
      <c r="K27" s="12" t="n"/>
      <c r="L27" s="11" t="n"/>
    </row>
    <row r="28" ht="28" customHeight="1" s="57">
      <c r="A28" s="27" t="n">
        <v>27</v>
      </c>
      <c r="B28" s="11" t="n"/>
      <c r="C28" s="12" t="n"/>
      <c r="D28" s="11" t="n"/>
      <c r="E28" s="12" t="n"/>
      <c r="F28" s="11" t="n"/>
      <c r="G28" s="12" t="n"/>
      <c r="H28" s="13" t="n"/>
      <c r="I28" s="13" t="n"/>
      <c r="J28" s="37" t="n"/>
      <c r="K28" s="12" t="n"/>
      <c r="L28" s="11" t="n"/>
    </row>
    <row r="29" ht="28" customHeight="1" s="57">
      <c r="A29" s="27" t="n">
        <v>28</v>
      </c>
      <c r="B29" s="11" t="n"/>
      <c r="C29" s="12" t="n"/>
      <c r="D29" s="11" t="n"/>
      <c r="E29" s="12" t="n"/>
      <c r="F29" s="11" t="n"/>
      <c r="G29" s="12" t="n"/>
      <c r="H29" s="13" t="n"/>
      <c r="I29" s="13" t="n"/>
      <c r="J29" s="37" t="n"/>
      <c r="K29" s="12" t="n"/>
      <c r="L29" s="11" t="n"/>
    </row>
    <row r="30" ht="28" customHeight="1" s="57">
      <c r="A30" s="27" t="n">
        <v>29</v>
      </c>
      <c r="B30" s="11" t="n"/>
      <c r="C30" s="12" t="n"/>
      <c r="D30" s="11" t="n"/>
      <c r="E30" s="12" t="n"/>
      <c r="F30" s="11" t="n"/>
      <c r="G30" s="12" t="n"/>
      <c r="H30" s="13" t="n"/>
      <c r="I30" s="13" t="n"/>
      <c r="J30" s="37" t="n"/>
      <c r="K30" s="12" t="n"/>
      <c r="L30" s="11" t="n"/>
    </row>
    <row r="31" ht="28" customHeight="1" s="57">
      <c r="A31" s="27" t="n">
        <v>30</v>
      </c>
      <c r="B31" s="11" t="n"/>
      <c r="C31" s="12" t="n"/>
      <c r="D31" s="11" t="n"/>
      <c r="E31" s="12" t="n"/>
      <c r="F31" s="11" t="n"/>
      <c r="G31" s="12" t="n"/>
      <c r="H31" s="13" t="n"/>
      <c r="I31" s="13" t="n"/>
      <c r="J31" s="37" t="n"/>
      <c r="K31" s="12" t="n"/>
      <c r="L31" s="11" t="n"/>
    </row>
    <row r="32" ht="28" customHeight="1" s="57">
      <c r="A32" s="27" t="n">
        <v>31</v>
      </c>
      <c r="B32" s="11" t="n"/>
      <c r="C32" s="12" t="n"/>
      <c r="D32" s="11" t="n"/>
      <c r="E32" s="12" t="n"/>
      <c r="F32" s="11" t="n"/>
      <c r="G32" s="12" t="n"/>
      <c r="H32" s="13" t="n"/>
      <c r="I32" s="13" t="n"/>
      <c r="J32" s="37" t="n"/>
      <c r="K32" s="12" t="n"/>
      <c r="L32" s="11" t="n"/>
    </row>
    <row r="33" ht="28" customHeight="1" s="57">
      <c r="A33" s="27" t="n">
        <v>32</v>
      </c>
      <c r="B33" s="11" t="n"/>
      <c r="C33" s="12" t="n"/>
      <c r="D33" s="11" t="n"/>
      <c r="E33" s="12" t="n"/>
      <c r="F33" s="11" t="n"/>
      <c r="G33" s="12" t="n"/>
      <c r="H33" s="13" t="n"/>
      <c r="I33" s="13" t="n"/>
      <c r="J33" s="37" t="n"/>
      <c r="K33" s="12" t="n"/>
      <c r="L33" s="11" t="n"/>
    </row>
    <row r="34" ht="28" customHeight="1" s="57">
      <c r="A34" s="27" t="n">
        <v>33</v>
      </c>
      <c r="B34" s="11" t="n"/>
      <c r="C34" s="12" t="n"/>
      <c r="D34" s="11" t="n"/>
      <c r="E34" s="12" t="n"/>
      <c r="F34" s="11" t="n"/>
      <c r="G34" s="12" t="n"/>
      <c r="H34" s="13" t="n"/>
      <c r="I34" s="13" t="n"/>
      <c r="J34" s="37" t="n"/>
      <c r="K34" s="12" t="n"/>
      <c r="L34" s="11" t="n"/>
    </row>
    <row r="35" ht="28" customHeight="1" s="57">
      <c r="A35" s="27" t="n">
        <v>34</v>
      </c>
      <c r="B35" s="11" t="n"/>
      <c r="C35" s="12" t="n"/>
      <c r="D35" s="11" t="n"/>
      <c r="E35" s="12" t="n"/>
      <c r="F35" s="11" t="n"/>
      <c r="G35" s="12" t="n"/>
      <c r="H35" s="13" t="n"/>
      <c r="I35" s="13" t="n"/>
      <c r="J35" s="37" t="n"/>
      <c r="K35" s="12" t="n"/>
      <c r="L35" s="11" t="n"/>
    </row>
    <row r="36" ht="28" customHeight="1" s="57">
      <c r="A36" s="27" t="n">
        <v>35</v>
      </c>
      <c r="B36" s="11" t="n"/>
      <c r="C36" s="12" t="n"/>
      <c r="D36" s="11" t="n"/>
      <c r="E36" s="12" t="n"/>
      <c r="F36" s="11" t="n"/>
      <c r="G36" s="12" t="n"/>
      <c r="H36" s="13" t="n"/>
      <c r="I36" s="13" t="n"/>
      <c r="J36" s="37" t="n"/>
      <c r="K36" s="12" t="n"/>
      <c r="L36" s="11" t="n"/>
    </row>
  </sheetData>
  <conditionalFormatting sqref="H2:H36">
    <cfRule type="expression" priority="5" dxfId="3">
      <formula>AND($H2&lt;&gt;"",$I2="",$H2&lt;TODAY())</formula>
    </cfRule>
  </conditionalFormatting>
  <conditionalFormatting sqref="L2:L36">
    <cfRule type="cellIs" priority="1" operator="equal" dxfId="3">
      <formula>"Vencida"</formula>
    </cfRule>
    <cfRule type="cellIs" priority="2" operator="equal" dxfId="2">
      <formula>"Cerrada"</formula>
    </cfRule>
    <cfRule type="cellIs" priority="3" operator="equal" dxfId="1">
      <formula>"Abierta"</formula>
    </cfRule>
    <cfRule type="cellIs" priority="4" operator="equal" dxfId="0">
      <formula>"En ejecución"</formula>
    </cfRule>
  </conditionalFormatting>
  <dataValidations count="3">
    <dataValidation sqref="F2:F36" showDropDown="0" showInputMessage="0" showErrorMessage="1" allowBlank="1" errorTitle="Valor no permitido" error="Seleccione una de las opciones de la lista." type="list">
      <formula1>"Correctiva,Preventiva,De mejora,Control de ingeniería,Control administrativo,EPP"</formula1>
    </dataValidation>
    <dataValidation sqref="D2:D36" showDropDown="0" showInputMessage="0" showErrorMessage="1" allowBlank="1" errorTitle="Valor no permitido" error="Seleccione una de las opciones de la lista." type="list">
      <formula1>"Extremo,Alto,Medio,Bajo,Muy bajo"</formula1>
    </dataValidation>
    <dataValidation sqref="L2:L36" showDropDown="0" showInputMessage="0" showErrorMessage="1" allowBlank="1" errorTitle="Valor no permitido" error="Seleccione una de las opciones de la lista." type="list">
      <formula1>"Abierta,En ejecución,Cerrada,Vencida,Cancelada"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D42"/>
  <sheetViews>
    <sheetView showGridLines="0" zoomScale="90" zoomScaleNormal="90" workbookViewId="0">
      <pane ySplit="1" topLeftCell="A21" activePane="bottomLeft" state="frozen"/>
      <selection pane="bottomLeft" activeCell="D23" sqref="D23"/>
    </sheetView>
  </sheetViews>
  <sheetFormatPr baseColWidth="10" defaultColWidth="8.7265625" defaultRowHeight="14.5"/>
  <cols>
    <col width="4" customWidth="1" style="57" min="1" max="1"/>
    <col width="30" customWidth="1" style="57" min="2" max="2"/>
    <col width="62" customWidth="1" style="57" min="3" max="3"/>
    <col width="26" customWidth="1" style="57" min="4" max="4"/>
  </cols>
  <sheetData>
    <row r="1" ht="22" customHeight="1" s="57">
      <c r="B1" s="1" t="inlineStr">
        <is>
          <t>MARCO NORMATIVO DE REFERENCIA</t>
        </is>
      </c>
    </row>
    <row r="2" ht="20" customHeight="1" s="57">
      <c r="A2" s="56" t="inlineStr">
        <is>
          <t xml:space="preserve">  GESTIÓN DEL RIESGO</t>
        </is>
      </c>
    </row>
    <row r="3" ht="22" customHeight="1" s="57">
      <c r="A3" s="51" t="inlineStr">
        <is>
          <t>#</t>
        </is>
      </c>
      <c r="B3" s="51" t="inlineStr">
        <is>
          <t>Norma o estándar</t>
        </is>
      </c>
      <c r="C3" s="51" t="inlineStr">
        <is>
          <t>Qué aporta al checklist</t>
        </is>
      </c>
      <c r="D3" s="51" t="inlineStr">
        <is>
          <t>Dónde se aplica</t>
        </is>
      </c>
    </row>
    <row r="4" ht="36" customHeight="1" s="57">
      <c r="A4" s="27" t="n">
        <v>1</v>
      </c>
      <c r="B4" s="3" t="inlineStr">
        <is>
          <t>ISO 31000</t>
        </is>
      </c>
      <c r="C4" s="54" t="inlineStr">
        <is>
          <t>Gestión del riesgo: identificar, analizar, evaluar, tratar y monitorear. Es la base metodológica de la matriz y de la escala P × I.</t>
        </is>
      </c>
      <c r="D4" s="54" t="inlineStr">
        <is>
          <t>Toda la matriz</t>
        </is>
      </c>
    </row>
    <row r="5" ht="24" customHeight="1" s="57">
      <c r="A5" s="27" t="n">
        <v>2</v>
      </c>
      <c r="B5" s="3" t="inlineStr">
        <is>
          <t>ISO 45001 / Decreto 1072 de 2015</t>
        </is>
      </c>
      <c r="C5" s="54" t="inlineStr">
        <is>
          <t>Sistema de gestión de seguridad y salud en el trabajo.</t>
        </is>
      </c>
      <c r="D5" s="54" t="inlineStr">
        <is>
          <t>Bloque K y contratistas</t>
        </is>
      </c>
    </row>
    <row r="6" ht="24" customHeight="1" s="57">
      <c r="A6" s="27" t="n">
        <v>3</v>
      </c>
      <c r="B6" s="3" t="inlineStr">
        <is>
          <t>Resolución 0312 de 2019 (Colombia)</t>
        </is>
      </c>
      <c r="C6" s="54" t="inlineStr">
        <is>
          <t>Estándares mínimos del Sistema de Gestión de Seguridad y Salud en el Trabajo (SG-SST) y autoevaluación anual obligatoria.</t>
        </is>
      </c>
      <c r="D6" s="54" t="inlineStr">
        <is>
          <t>R-59</t>
        </is>
      </c>
    </row>
    <row r="7" ht="24" customHeight="1" s="57">
      <c r="A7" s="27" t="n">
        <v>4</v>
      </c>
      <c r="B7" s="3" t="inlineStr">
        <is>
          <t>ISO 22301</t>
        </is>
      </c>
      <c r="C7" s="54" t="inlineStr">
        <is>
          <t>Continuidad del negocio: análisis de impacto al negocio, tiempo máximo de recuperación, pérdida máxima de información y prueba del plan.</t>
        </is>
      </c>
      <c r="D7" s="54" t="inlineStr">
        <is>
          <t>R-61</t>
        </is>
      </c>
    </row>
    <row r="8" ht="24" customHeight="1" s="57">
      <c r="A8" s="27" t="n">
        <v>5</v>
      </c>
      <c r="B8" s="3" t="inlineStr">
        <is>
          <t>ISO 28000 / BASC / OEA / C-TPAT</t>
        </is>
      </c>
      <c r="C8" s="54" t="inlineStr">
        <is>
          <t>Seguridad de la cadena de suministro y protección de la carga.</t>
        </is>
      </c>
      <c r="D8" s="54" t="inlineStr">
        <is>
          <t>Bloque I</t>
        </is>
      </c>
    </row>
    <row r="9" ht="24" customHeight="1" s="57">
      <c r="A9" s="27" t="n">
        <v>6</v>
      </c>
      <c r="B9" s="3" t="inlineStr">
        <is>
          <t>ISO 27001 / NIST CSF</t>
        </is>
      </c>
      <c r="C9" s="54" t="inlineStr">
        <is>
          <t>Seguridad de la información y ciberseguridad.</t>
        </is>
      </c>
      <c r="D9" s="54" t="inlineStr">
        <is>
          <t>R-44</t>
        </is>
      </c>
    </row>
    <row r="11" ht="20" customHeight="1" s="57">
      <c r="A11" s="56" t="inlineStr">
        <is>
          <t xml:space="preserve">  ESTANTERÍA Y PISO</t>
        </is>
      </c>
    </row>
    <row r="12" ht="22" customHeight="1" s="57">
      <c r="A12" s="51" t="inlineStr">
        <is>
          <t>#</t>
        </is>
      </c>
      <c r="B12" s="51" t="inlineStr">
        <is>
          <t>Norma o estándar</t>
        </is>
      </c>
      <c r="C12" s="51" t="inlineStr">
        <is>
          <t>Qué aporta al checklist</t>
        </is>
      </c>
      <c r="D12" s="51" t="inlineStr">
        <is>
          <t>Dónde se aplica</t>
        </is>
      </c>
    </row>
    <row r="13" ht="36" customHeight="1" s="57">
      <c r="A13" s="27" t="n">
        <v>1</v>
      </c>
      <c r="B13" s="3" t="inlineStr">
        <is>
          <t>EN 15635</t>
        </is>
      </c>
      <c r="C13" s="54" t="inlineStr">
        <is>
          <t>Uso y mantenimiento del equipo de almacenamiento: define quién es el responsable de la seguridad de la estantería, la inspección visual periódica, la experta anual y la clasificación de daños verde / ámbar / rojo.</t>
        </is>
      </c>
      <c r="D13" s="54" t="inlineStr">
        <is>
          <t>Todo el bloque B</t>
        </is>
      </c>
    </row>
    <row r="14" ht="24" customHeight="1" s="57">
      <c r="A14" s="27" t="n">
        <v>2</v>
      </c>
      <c r="B14" s="3" t="inlineStr">
        <is>
          <t>EN 15512 / RMI ANSI MH16.1</t>
        </is>
      </c>
      <c r="C14" s="54" t="inlineStr">
        <is>
          <t>Diseño estructural de estanterías, incluido el diseño sísmico.</t>
        </is>
      </c>
      <c r="D14" s="54" t="inlineStr">
        <is>
          <t>R-08, R-34</t>
        </is>
      </c>
    </row>
    <row r="15" ht="24" customHeight="1" s="57">
      <c r="A15" s="27" t="n">
        <v>3</v>
      </c>
      <c r="B15" s="3" t="inlineStr">
        <is>
          <t>EN 15629</t>
        </is>
      </c>
      <c r="C15" s="54" t="inlineStr">
        <is>
          <t>Especificación e instalación del equipo de almacenamiento.</t>
        </is>
      </c>
      <c r="D15" s="54" t="inlineStr">
        <is>
          <t>R-14, R-57</t>
        </is>
      </c>
    </row>
    <row r="16" ht="24" customHeight="1" s="57">
      <c r="A16" s="27" t="n">
        <v>4</v>
      </c>
      <c r="B16" s="3" t="inlineStr">
        <is>
          <t>EN 15620 / TR34 / ACI 302</t>
        </is>
      </c>
      <c r="C16" s="54" t="inlineStr">
        <is>
          <t>Tolerancias del piso, planitud, juntas y acabado de la losa.</t>
        </is>
      </c>
      <c r="D16" s="54" t="inlineStr">
        <is>
          <t>R-03, R-04, R-07</t>
        </is>
      </c>
    </row>
    <row r="17" ht="24" customHeight="1" s="57">
      <c r="A17" s="27" t="n">
        <v>5</v>
      </c>
      <c r="B17" s="3" t="inlineStr">
        <is>
          <t>FEM 10.2.08</t>
        </is>
      </c>
      <c r="C17" s="54" t="inlineStr">
        <is>
          <t>Diseño sísmico de sistemas de almacenamiento en estanterías.</t>
        </is>
      </c>
      <c r="D17" s="54" t="inlineStr">
        <is>
          <t>R-34</t>
        </is>
      </c>
    </row>
    <row r="18" ht="24" customHeight="1" s="57">
      <c r="A18" s="27" t="n">
        <v>6</v>
      </c>
      <c r="B18" s="3" t="inlineStr">
        <is>
          <t>ANSI A326.3 / DIN 51130</t>
        </is>
      </c>
      <c r="C18" s="54" t="inlineStr">
        <is>
          <t>Resistencia al deslizamiento de superficies.</t>
        </is>
      </c>
      <c r="D18" s="54" t="inlineStr">
        <is>
          <t>R-06</t>
        </is>
      </c>
    </row>
    <row r="20" ht="20" customHeight="1" s="57">
      <c r="A20" s="56" t="inlineStr">
        <is>
          <t xml:space="preserve">  PROTECCIÓN CONTRA INCENDIO</t>
        </is>
      </c>
    </row>
    <row r="21" ht="22" customHeight="1" s="57">
      <c r="A21" s="51" t="inlineStr">
        <is>
          <t>#</t>
        </is>
      </c>
      <c r="B21" s="51" t="inlineStr">
        <is>
          <t>Norma o estándar</t>
        </is>
      </c>
      <c r="C21" s="51" t="inlineStr">
        <is>
          <t>Qué aporta al checklist</t>
        </is>
      </c>
      <c r="D21" s="51" t="inlineStr">
        <is>
          <t>Dónde se aplica</t>
        </is>
      </c>
    </row>
    <row r="22" ht="24" customHeight="1" s="57">
      <c r="A22" s="27" t="n">
        <v>1</v>
      </c>
      <c r="B22" s="3" t="inlineStr">
        <is>
          <t>NFPA 13</t>
        </is>
      </c>
      <c r="C22" s="54" t="inlineStr">
        <is>
          <t>Diseño de rociadores: clasificación de mercancía, altura de almacenamiento y 45 cm libres bajo el deflector.</t>
        </is>
      </c>
      <c r="D22" s="54" t="inlineStr">
        <is>
          <t>R-16</t>
        </is>
      </c>
    </row>
    <row r="23" ht="36" customHeight="1" s="57">
      <c r="A23" s="27" t="n">
        <v>2</v>
      </c>
      <c r="B23" s="3" t="inlineStr">
        <is>
          <t>NFPA 25</t>
        </is>
      </c>
      <c r="C23" s="54" t="inlineStr">
        <is>
          <t>Inspección, prueba y mantenimiento de sistemas a base de agua. Es la fuente de las frecuencias semanal, mensual, trimestral, anual y quinquenal.</t>
        </is>
      </c>
      <c r="D23" s="54" t="inlineStr">
        <is>
          <t>R-27, R-29</t>
        </is>
      </c>
    </row>
    <row r="24" ht="24" customHeight="1" s="57">
      <c r="A24" s="27" t="n">
        <v>3</v>
      </c>
      <c r="B24" s="3" t="inlineStr">
        <is>
          <t>NFPA 10 / NTC 2885</t>
        </is>
      </c>
      <c r="C24" s="54" t="inlineStr">
        <is>
          <t>Extintores portátiles: inspección mensual, mantenimiento anual y prueba hidrostática.</t>
        </is>
      </c>
      <c r="D24" s="54" t="inlineStr">
        <is>
          <t>R-29</t>
        </is>
      </c>
    </row>
    <row r="25" ht="24" customHeight="1" s="57">
      <c r="A25" s="27" t="n">
        <v>4</v>
      </c>
      <c r="B25" s="3" t="inlineStr">
        <is>
          <t>NFPA 72 / NFPA 101 / NTC 1700</t>
        </is>
      </c>
      <c r="C25" s="54" t="inlineStr">
        <is>
          <t>Detección y alarma; seguridad humana, salidas, señalización e iluminación de emergencia.</t>
        </is>
      </c>
      <c r="D25" s="54" t="inlineStr">
        <is>
          <t>R-28, R-32</t>
        </is>
      </c>
    </row>
    <row r="26" ht="24" customHeight="1" s="57">
      <c r="A26" s="27" t="n">
        <v>5</v>
      </c>
      <c r="B26" s="3" t="inlineStr">
        <is>
          <t>NFPA 30 / 30B / 230</t>
        </is>
      </c>
      <c r="C26" s="54" t="inlineStr">
        <is>
          <t>Líquidos inflamables, aerosoles y protección en almacenamiento (incluye estibas).</t>
        </is>
      </c>
      <c r="D26" s="54" t="inlineStr">
        <is>
          <t>R-30</t>
        </is>
      </c>
    </row>
    <row r="27" ht="24" customHeight="1" s="57">
      <c r="A27" s="27" t="n">
        <v>6</v>
      </c>
      <c r="B27" s="3" t="inlineStr">
        <is>
          <t>NFPA 51B / NFPA 80 / NFPA 221</t>
        </is>
      </c>
      <c r="C27" s="54" t="inlineStr">
        <is>
          <t>Trabajos en caliente; puertas y muros cortafuego.</t>
        </is>
      </c>
      <c r="D27" s="54" t="inlineStr">
        <is>
          <t>R-02, R-31</t>
        </is>
      </c>
    </row>
    <row r="28" ht="24" customHeight="1" s="57">
      <c r="A28" s="27" t="n">
        <v>7</v>
      </c>
      <c r="B28" s="3" t="inlineStr">
        <is>
          <t>NFPA 855 / NFPA 58 / NFPA 110</t>
        </is>
      </c>
      <c r="C28" s="54" t="inlineStr">
        <is>
          <t>Baterías de litio, gas propano (GLP) y sistemas de energía de emergencia.</t>
        </is>
      </c>
      <c r="D28" s="54" t="inlineStr">
        <is>
          <t>R-26, R-38</t>
        </is>
      </c>
    </row>
    <row r="29" ht="24" customHeight="1" s="57">
      <c r="A29" s="27" t="n">
        <v>8</v>
      </c>
      <c r="B29" s="3" t="inlineStr">
        <is>
          <t>FM Global Data Sheets</t>
        </is>
      </c>
      <c r="C29" s="54" t="inlineStr">
        <is>
          <t>Guías de aseguradoras: drenaje de cubierta (1-54) y almacenamiento de estibas (8-24).</t>
        </is>
      </c>
      <c r="D29" s="54" t="inlineStr">
        <is>
          <t>R-01, R-30</t>
        </is>
      </c>
    </row>
    <row r="31" ht="20" customHeight="1" s="57">
      <c r="A31" s="56" t="inlineStr">
        <is>
          <t xml:space="preserve">  EQUIPOS, INSTALACIONES Y PRODUCTO</t>
        </is>
      </c>
    </row>
    <row r="32" ht="22" customHeight="1" s="57">
      <c r="A32" s="51" t="inlineStr">
        <is>
          <t>#</t>
        </is>
      </c>
      <c r="B32" s="51" t="inlineStr">
        <is>
          <t>Norma o estándar</t>
        </is>
      </c>
      <c r="C32" s="51" t="inlineStr">
        <is>
          <t>Qué aporta al checklist</t>
        </is>
      </c>
      <c r="D32" s="51" t="inlineStr">
        <is>
          <t>Dónde se aplica</t>
        </is>
      </c>
    </row>
    <row r="33" ht="36" customHeight="1" s="57">
      <c r="A33" s="27" t="n">
        <v>1</v>
      </c>
      <c r="B33" s="3" t="inlineStr">
        <is>
          <t>OSHA 1910.178 / ANSI B56.1</t>
        </is>
      </c>
      <c r="C33" s="54" t="inlineStr">
        <is>
          <t>Montacargas: preoperacional por turno, certificación del operador y recertificación cada 3 años, aseguramiento del camión en muelle.</t>
        </is>
      </c>
      <c r="D33" s="54" t="inlineStr">
        <is>
          <t>Bloque E, R-18</t>
        </is>
      </c>
    </row>
    <row r="34" ht="24" customHeight="1" s="57">
      <c r="A34" s="27" t="n">
        <v>2</v>
      </c>
      <c r="B34" s="3" t="inlineStr">
        <is>
          <t>ISO 5057</t>
        </is>
      </c>
      <c r="C34" s="54" t="inlineStr">
        <is>
          <t>Inspección de horquillas en servicio (desgaste máximo del 10%).</t>
        </is>
      </c>
      <c r="D34" s="54" t="inlineStr">
        <is>
          <t>R-23</t>
        </is>
      </c>
    </row>
    <row r="35" ht="24" customHeight="1" s="57">
      <c r="A35" s="27" t="n">
        <v>3</v>
      </c>
      <c r="B35" s="3" t="inlineStr">
        <is>
          <t>Resolución 1409 de 2012 (Colombia)</t>
        </is>
      </c>
      <c r="C35" s="54" t="inlineStr">
        <is>
          <t>Trabajo en alturas: permisos, certificación, anclajes y elementos de protección personal.</t>
        </is>
      </c>
      <c r="D35" s="54" t="inlineStr">
        <is>
          <t>R-25, R-47</t>
        </is>
      </c>
    </row>
    <row r="36" ht="24" customHeight="1" s="57">
      <c r="A36" s="27" t="n">
        <v>4</v>
      </c>
      <c r="B36" s="3" t="inlineStr">
        <is>
          <t>ISO 11228 / NIOSH / REBA</t>
        </is>
      </c>
      <c r="C36" s="54" t="inlineStr">
        <is>
          <t>Manipulación manual de cargas y evaluación ergonómica.</t>
        </is>
      </c>
      <c r="D36" s="54" t="inlineStr">
        <is>
          <t>R-45</t>
        </is>
      </c>
    </row>
    <row r="37" ht="24" customHeight="1" s="57">
      <c r="A37" s="27" t="n">
        <v>5</v>
      </c>
      <c r="B37" s="3" t="inlineStr">
        <is>
          <t>RETIE / RETILAP / NTC 4552 / NFPA 70B</t>
        </is>
      </c>
      <c r="C37" s="54" t="inlineStr">
        <is>
          <t>Instalaciones eléctricas, iluminación, protección contra rayos y mantenimiento eléctrico con termografía.</t>
        </is>
      </c>
      <c r="D37" s="54" t="inlineStr">
        <is>
          <t>R-31, R-36, R-37</t>
        </is>
      </c>
    </row>
    <row r="38" ht="24" customHeight="1" s="57">
      <c r="A38" s="27" t="n">
        <v>6</v>
      </c>
      <c r="B38" s="3" t="inlineStr">
        <is>
          <t>NSR-10 / ASCE 7</t>
        </is>
      </c>
      <c r="C38" s="54" t="inlineStr">
        <is>
          <t>Norma de construcción sismo resistente: diseño estructural, cargas de cubierta y amenaza sísmica.</t>
        </is>
      </c>
      <c r="D38" s="54" t="inlineStr">
        <is>
          <t>R-01, R-34</t>
        </is>
      </c>
    </row>
    <row r="39" ht="24" customHeight="1" s="57">
      <c r="A39" s="27" t="n">
        <v>7</v>
      </c>
      <c r="B39" s="3" t="inlineStr">
        <is>
          <t>Resolución 2674 de 2013 / BPM / HACCP / GDP</t>
        </is>
      </c>
      <c r="C39" s="54" t="inlineStr">
        <is>
          <t>Condiciones sanitarias de almacenamiento, cadena de frío y control de plagas.</t>
        </is>
      </c>
      <c r="D39" s="54" t="inlineStr">
        <is>
          <t>R-50, R-51</t>
        </is>
      </c>
    </row>
    <row r="40" ht="24" customHeight="1" s="57">
      <c r="A40" s="27" t="n">
        <v>8</v>
      </c>
      <c r="B40" s="3" t="inlineStr">
        <is>
          <t>Decreto 1609 de 2002 / NTC 1692 / SGA-GHS / NFPA 400</t>
        </is>
      </c>
      <c r="C40" s="54" t="inlineStr">
        <is>
          <t>Mercancías peligrosas: clasificación, rotulado y segregación.</t>
        </is>
      </c>
      <c r="D40" s="54" t="inlineStr">
        <is>
          <t>R-52</t>
        </is>
      </c>
    </row>
    <row r="41" ht="24" customHeight="1" s="57">
      <c r="A41" s="27" t="n">
        <v>9</v>
      </c>
      <c r="B41" s="3" t="inlineStr">
        <is>
          <t>Decreto 4741 de 2005 / ISO 14001</t>
        </is>
      </c>
      <c r="C41" s="54" t="inlineStr">
        <is>
          <t>Residuos peligrosos y gestión ambiental.</t>
        </is>
      </c>
      <c r="D41" s="54" t="inlineStr">
        <is>
          <t>R-05, R-52</t>
        </is>
      </c>
    </row>
    <row r="42" ht="24" customHeight="1" s="57">
      <c r="A42" s="27" t="n">
        <v>10</v>
      </c>
      <c r="B42" s="3" t="inlineStr">
        <is>
          <t>ISO 17712 / IIAR / ASHRAE 15</t>
        </is>
      </c>
      <c r="C42" s="54" t="inlineStr">
        <is>
          <t>Sellos de alta seguridad; seguridad en refrigeración por amoníaco.</t>
        </is>
      </c>
      <c r="D42" s="54" t="inlineStr">
        <is>
          <t>R-42, R-38</t>
        </is>
      </c>
    </row>
  </sheetData>
  <mergeCells count="4">
    <mergeCell ref="A20:D20"/>
    <mergeCell ref="A31:D3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2026-08-25T13:54:51Z</dcterms:created>
  <dcterms:modified xsi:type="dcterms:W3CDTF">2026-08-26T16:07:10Z</dcterms:modified>
  <cp:lastModifiedBy>Camilo Andrés Huertas Bobadilla</cp:lastModifiedBy>
</cp:coreProperties>
</file>